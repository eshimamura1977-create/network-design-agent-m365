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7="http://schemas.microsoft.com/office/spreadsheetml/2010/11/main" xmlns:ns8="http://schemas.microsoft.com/office/spreadsheetml/2018/calcfeatures" xmlns:r="http://schemas.openxmlformats.org/officeDocument/2006/relationships" ns1:Ignorable="x15 xr xr6 xr10 xr2">
  <fileVersion appName="xl" lastEdited="7" lowestEdited="7" rupBuild="30502"/>
  <workbookPr/>
  <ns2:revisionPtr revIDLastSave="27" documentId="11_F0F0E32DB60427E70108322757B9EFF81584A11F" ns3:coauthVersionLast="47" ns3:coauthVersionMax="47" ns4:uidLastSave="{F054C38F-5F5E-4901-B3B9-C9E284341DC5}"/>
  <bookViews>
    <workbookView xWindow="0" yWindow="0" windowWidth="0" windowHeight="0" firstSheet="1" ns5:uid="{00000000-000D-0000-FFFF-FFFF00000000}"/>
  </bookViews>
  <sheets>
    <sheet name="要件ヒアリング" sheetId="1" r:id="rId1"/>
    <sheet name="充足状況" sheetId="2" r:id="rId2"/>
    <sheet name="課題・未決事項" sheetId="3" r:id="rId3"/>
    <sheet name="参照資料" sheetId="4" r:id="rId4"/>
    <sheet name="_Lists" sheetId="5" state="hidden" r:id="rId5"/>
  </sheets>
  <definedNames>
    <definedName name="_xlnm._FilterDatabase" localSheetId="0" hidden="1">要件ヒアリング!$A$4:$I$32</definedName>
    <definedName name="_xlnm._FilterDatabase" localSheetId="2" hidden="1">課題・未決事項!$A$4:$I$104</definedName>
    <definedName name="_xlnm._FilterDatabase" localSheetId="3" hidden="1">参照資料!$A$4:$G$54</definedName>
    <definedName name="WAN方式">_Lists!$D$2:$D$8</definedName>
    <definedName name="可用性">_Lists!$C$2:$C$7</definedName>
    <definedName name="課題状態">_Lists!$E$2:$E$7</definedName>
    <definedName name="対象フェーズ">_Lists!$A$2:$A$8</definedName>
    <definedName name="有無未定">_Lists!$B$2:$B$4</definedName>
  </definedNames>
  <calcPr calcId="191028" fullCalcOnLoad="1" calcMode="auto"/>
  <extLst>
    <ext uri="{140A7094-0E35-4892-8432-C4D2E57EDEB5}">
      <ns7:workbookPr chartTrackingRefBase="1"/>
    </ex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B8" i="2" l="1"/>
  <c r="B10" i="2" s="1"/>
  <c r="B7" i="2"/>
  <c r="B6" i="2"/>
  <c r="B5" i="2"/>
  <c r="B9" i="2" l="1"/>
</calcChain>
</file>

<file path=xl/sharedStrings.xml><?xml version="1.0" encoding="utf-8"?>
<sst xmlns="http://schemas.openxmlformats.org/spreadsheetml/2006/main" count="678" uniqueCount="495">
  <si>
    <t>NW要件ヒアリングシート</t>
  </si>
  <si>
    <t>青字セルを入力してください。未確定事項は「未定」を選択し、課題・未決事項シートへ記録します。</t>
  </si>
  <si>
    <t>ID</t>
  </si>
  <si>
    <t>分類</t>
  </si>
  <si>
    <t>要件項目</t>
  </si>
  <si>
    <t>確認内容</t>
  </si>
  <si>
    <t>必須</t>
  </si>
  <si>
    <t>回答</t>
  </si>
  <si>
    <t>単位・形式</t>
  </si>
  <si>
    <t>根拠・参照資料</t>
  </si>
  <si>
    <t>備考</t>
  </si>
  <si>
    <t>REQ-001</t>
  </si>
  <si>
    <t>案件基本</t>
  </si>
  <si>
    <t>案件名</t>
  </si>
  <si>
    <t>正式な案件名または仮称</t>
  </si>
  <si>
    <t>文字列</t>
  </si>
  <si>
    <t>REQ-002</t>
  </si>
  <si>
    <t>顧客・組織名</t>
  </si>
  <si>
    <t>対象となる顧客・組織</t>
  </si>
  <si>
    <t>REQ-003</t>
  </si>
  <si>
    <t>対象フェーズ</t>
  </si>
  <si>
    <t>要件定義／基本設計／詳細設計／構築／更改</t>
  </si>
  <si>
    <t>選択</t>
  </si>
  <si>
    <t>REQ-004</t>
  </si>
  <si>
    <t>希望稼働日</t>
  </si>
  <si>
    <t>本番稼働予定日</t>
  </si>
  <si>
    <t>YYYY-MM-DD</t>
  </si>
  <si>
    <t>REQ-005</t>
  </si>
  <si>
    <t>対象範囲</t>
  </si>
  <si>
    <t>LAN、WAN、Internet、Security、Wireless、Cloud等</t>
  </si>
  <si>
    <t>複数可</t>
  </si>
  <si>
    <t>REQ-006</t>
  </si>
  <si>
    <t>現行環境</t>
  </si>
  <si>
    <t>現行構成の有無</t>
  </si>
  <si>
    <t>既存ネットワークの有無</t>
  </si>
  <si>
    <t>REQ-007</t>
  </si>
  <si>
    <t>現行課題</t>
  </si>
  <si>
    <t>障害、性能、保守切れ、運用負荷等</t>
  </si>
  <si>
    <t>条件付き</t>
  </si>
  <si>
    <t>複数行</t>
  </si>
  <si>
    <t>REQ-008</t>
  </si>
  <si>
    <t>拠点</t>
  </si>
  <si>
    <t>拠点数</t>
  </si>
  <si>
    <t>対象拠点の総数</t>
  </si>
  <si>
    <t>整数[拠点]</t>
  </si>
  <si>
    <t>REQ-009</t>
  </si>
  <si>
    <t>利用規模</t>
  </si>
  <si>
    <t>利用者数</t>
  </si>
  <si>
    <t>通常時／最大時の利用者数</t>
  </si>
  <si>
    <t>整数[人]</t>
  </si>
  <si>
    <t>REQ-010</t>
  </si>
  <si>
    <t>端末数</t>
  </si>
  <si>
    <t>PC、電話、AP、IoT、サーバ等</t>
  </si>
  <si>
    <t>整数[台]</t>
  </si>
  <si>
    <t>REQ-011</t>
  </si>
  <si>
    <t>可用性</t>
  </si>
  <si>
    <t>目標可用性</t>
  </si>
  <si>
    <t>SLAまたは許容停止時間</t>
  </si>
  <si>
    <t>REQ-012</t>
  </si>
  <si>
    <t>冗長化要件</t>
  </si>
  <si>
    <t>機器、回線、電源、経路の冗長化</t>
  </si>
  <si>
    <t>REQ-013</t>
  </si>
  <si>
    <t>性能</t>
  </si>
  <si>
    <t>必要帯域</t>
  </si>
  <si>
    <t>拠点間／Internet／主要通信別</t>
  </si>
  <si>
    <t>Mbps/Gbps</t>
  </si>
  <si>
    <t>REQ-014</t>
  </si>
  <si>
    <t>遅延・損失要件</t>
  </si>
  <si>
    <t>音声、映像、業務アプリ等</t>
  </si>
  <si>
    <t>ms/%</t>
  </si>
  <si>
    <t>REQ-015</t>
  </si>
  <si>
    <t>WAN</t>
  </si>
  <si>
    <t>WAN方式</t>
  </si>
  <si>
    <t>IP-VPN、Internet VPN、SD-WAN等</t>
  </si>
  <si>
    <t>REQ-016</t>
  </si>
  <si>
    <t>LAN</t>
  </si>
  <si>
    <t>VLAN・セグメント要件</t>
  </si>
  <si>
    <t>利用者、サーバ、管理、音声、無線等</t>
  </si>
  <si>
    <t>REQ-017</t>
  </si>
  <si>
    <t>Routing</t>
  </si>
  <si>
    <t>ルーティング要件</t>
  </si>
  <si>
    <t>Static、OSPF、BGP、VRF等</t>
  </si>
  <si>
    <t>REQ-018</t>
  </si>
  <si>
    <t>Security</t>
  </si>
  <si>
    <t>セキュリティゾーン</t>
  </si>
  <si>
    <t>Trust、Untrust、DMZ、管理等</t>
  </si>
  <si>
    <t>REQ-019</t>
  </si>
  <si>
    <t>通信制御方針</t>
  </si>
  <si>
    <t>許可リスト方式、禁止通信、NAT等</t>
  </si>
  <si>
    <t>REQ-020</t>
  </si>
  <si>
    <t>認証</t>
  </si>
  <si>
    <t>管理者認証</t>
  </si>
  <si>
    <t>Local、RADIUS、TACACS+、MFA等</t>
  </si>
  <si>
    <t>REQ-021</t>
  </si>
  <si>
    <t>運用</t>
  </si>
  <si>
    <t>監視要件</t>
  </si>
  <si>
    <t>死活、性能、ログ、SNMP、通知先等</t>
  </si>
  <si>
    <t>REQ-022</t>
  </si>
  <si>
    <t>ログ保管要件</t>
  </si>
  <si>
    <t>Syslog、保存期間、時刻同期等</t>
  </si>
  <si>
    <t>REQ-023</t>
  </si>
  <si>
    <t>バックアップ要件</t>
  </si>
  <si>
    <t>Config取得頻度、保管先、復旧要件</t>
  </si>
  <si>
    <t>REQ-024</t>
  </si>
  <si>
    <t>移行</t>
  </si>
  <si>
    <t>停止可能時間</t>
  </si>
  <si>
    <t>切替可能日時と許容停止時間</t>
  </si>
  <si>
    <t>REQ-025</t>
  </si>
  <si>
    <t>ロールバック条件</t>
  </si>
  <si>
    <t>切戻し判断基準と期限</t>
  </si>
  <si>
    <t>REQ-026</t>
  </si>
  <si>
    <t>制約</t>
  </si>
  <si>
    <t>採用製品・バージョン</t>
  </si>
  <si>
    <t>指定ベンダー、型式、OS/FWバージョン</t>
  </si>
  <si>
    <t>REQ-027</t>
  </si>
  <si>
    <t>社内・顧客標準</t>
  </si>
  <si>
    <t>準拠すべき規程、標準、契約条件</t>
  </si>
  <si>
    <t>REQ-028</t>
  </si>
  <si>
    <t>成果物</t>
  </si>
  <si>
    <t>必要成果物</t>
  </si>
  <si>
    <t>設計書、構成図、パラメータ、Config、試験、運用等</t>
  </si>
  <si>
    <t>REQ-029</t>
  </si>
  <si>
    <t>PC台数</t>
  </si>
  <si>
    <t>有線PC、無線PCの現在台数および最大台数</t>
  </si>
  <si>
    <t>REQ-030</t>
  </si>
  <si>
    <t>IP電話台数</t>
  </si>
  <si>
    <t>IP電話の現在台数、最大台数および最大同時通話数</t>
  </si>
  <si>
    <t>REQ-031</t>
  </si>
  <si>
    <t>無線端末数</t>
  </si>
  <si>
    <t>社給端末、BYOD、ゲスト端末を含む現在および最大同時接続数</t>
  </si>
  <si>
    <t>REQ-032</t>
  </si>
  <si>
    <t>サーバ接続数</t>
  </si>
  <si>
    <t>物理サーバおよび仮想基盤を含むネットワーク接続数</t>
  </si>
  <si>
    <t>REQ-033</t>
  </si>
  <si>
    <t>その他端末数</t>
  </si>
  <si>
    <t>プリンタ、監視カメラ、IoT端末、複合機等の種別ごとの台数</t>
  </si>
  <si>
    <t>REQ-034</t>
  </si>
  <si>
    <t>同時利用率</t>
  </si>
  <si>
    <t>通常時およびピーク時の利用者・端末の同時利用率</t>
  </si>
  <si>
    <t>%</t>
  </si>
  <si>
    <t>REQ-035</t>
  </si>
  <si>
    <t>有線収容ポート数</t>
  </si>
  <si>
    <t>現用、最大、予備を含む拠点別の必要有線ポート数</t>
  </si>
  <si>
    <t>整数[ポート]</t>
  </si>
  <si>
    <t>REQ-036</t>
  </si>
  <si>
    <t>PoE収容数</t>
  </si>
  <si>
    <t>AP、IP電話、監視カメラ等のPoE給電対象台数</t>
  </si>
  <si>
    <t>REQ-037</t>
  </si>
  <si>
    <t>利用アプリケーション</t>
  </si>
  <si>
    <t>Microsoft 365、業務Web、ファイル共有、VDI、バックアップ等の利用有無</t>
  </si>
  <si>
    <t>REQ-038</t>
  </si>
  <si>
    <t>Web会議利用</t>
  </si>
  <si>
    <t>Teams、Zoom等の利用者数、最大同時会議数および画質</t>
  </si>
  <si>
    <t>人/会議数</t>
  </si>
  <si>
    <t>REQ-039</t>
  </si>
  <si>
    <t>ファイルサーバ通信</t>
  </si>
  <si>
    <t>通常時、ピーク時および大容量ファイル転送時の通信量</t>
  </si>
  <si>
    <t>REQ-040</t>
  </si>
  <si>
    <t>音声通信</t>
  </si>
  <si>
    <t>最大同時通話数、Codecおよび音声品質要件</t>
  </si>
  <si>
    <t>呼数/Codec</t>
  </si>
  <si>
    <t>REQ-041</t>
  </si>
  <si>
    <t>映像通信</t>
  </si>
  <si>
    <t>Web会議、映像配信、監視映像等の最大同時セッション数</t>
  </si>
  <si>
    <t>セッション数</t>
  </si>
  <si>
    <t>REQ-042</t>
  </si>
  <si>
    <t>クラウド通信</t>
  </si>
  <si>
    <t>SaaS、IaaS、クラウドバックアップ等の利用内容と通信先</t>
  </si>
  <si>
    <t>REQ-043</t>
  </si>
  <si>
    <t>ピーク時間帯</t>
  </si>
  <si>
    <t>最大負荷が発生する曜日、時間帯および業務イベント</t>
  </si>
  <si>
    <t>時間帯</t>
  </si>
  <si>
    <t>REQ-044</t>
  </si>
  <si>
    <t>実測トラフィック</t>
  </si>
  <si>
    <t>現行回線および主要インタフェースの平均値、95パーセンタイル値、最大値</t>
  </si>
  <si>
    <t>REQ-045</t>
  </si>
  <si>
    <t>サイジング</t>
  </si>
  <si>
    <t>設計期間</t>
  </si>
  <si>
    <t>何年先の利用規模およびトラフィックまで収容するか</t>
  </si>
  <si>
    <t>年</t>
  </si>
  <si>
    <t>REQ-046</t>
  </si>
  <si>
    <t>将来増加率</t>
  </si>
  <si>
    <t>利用者数、端末数、通信量の想定年間増加率</t>
  </si>
  <si>
    <t>%/年</t>
  </si>
  <si>
    <t>REQ-047</t>
  </si>
  <si>
    <t>性能余裕率</t>
  </si>
  <si>
    <t>通常時およびピーク時に確保する処理性能の余裕率</t>
  </si>
  <si>
    <t>REQ-048</t>
  </si>
  <si>
    <t>ポート予備率</t>
  </si>
  <si>
    <t>将来増設用として確保する未使用ポートの割合</t>
  </si>
  <si>
    <t>REQ-049</t>
  </si>
  <si>
    <t>片系故障時性能</t>
  </si>
  <si>
    <t>機器または回線の片系故障時にも維持する必要がある処理性能</t>
  </si>
  <si>
    <t>%/Gbps</t>
  </si>
  <si>
    <t>REQ-050</t>
  </si>
  <si>
    <t>拡張方法</t>
  </si>
  <si>
    <t>機器増設、モジュール追加、上位機種交換、ライセンス拡張等の方針</t>
  </si>
  <si>
    <t>REQ-051</t>
  </si>
  <si>
    <t>Firewall通過帯域</t>
  </si>
  <si>
    <t>通常時、ピーク時および将来時のFirewall通過トラフィック量</t>
  </si>
  <si>
    <t>Gbps</t>
  </si>
  <si>
    <t>REQ-052</t>
  </si>
  <si>
    <t>最大同時セッション数</t>
  </si>
  <si>
    <t>社内外通信、クラウド通信、VPN通信を含む最大同時セッション数</t>
  </si>
  <si>
    <t>Session</t>
  </si>
  <si>
    <t>REQ-053</t>
  </si>
  <si>
    <t>新規セッション生成数</t>
  </si>
  <si>
    <t>ピーク時に発生する1秒当たりの新規セッション数</t>
  </si>
  <si>
    <t>CPS</t>
  </si>
  <si>
    <t>REQ-054</t>
  </si>
  <si>
    <t>IPS利用</t>
  </si>
  <si>
    <t>IPSを有効化する通信範囲および除外対象</t>
  </si>
  <si>
    <t>有無未定</t>
  </si>
  <si>
    <t>REQ-055</t>
  </si>
  <si>
    <t>URLフィルタ利用</t>
  </si>
  <si>
    <t>URLフィルタを適用する利用者、通信およびカテゴリ</t>
  </si>
  <si>
    <t>REQ-056</t>
  </si>
  <si>
    <t>マルウェア対策</t>
  </si>
  <si>
    <t>アンチウイルス、ファイル検査等を適用する通信範囲</t>
  </si>
  <si>
    <t>REQ-057</t>
  </si>
  <si>
    <t>SSL復号</t>
  </si>
  <si>
    <t>SSL復号の有無、対象通信、除外通信および対象トラフィック比率</t>
  </si>
  <si>
    <t>有無未定/%</t>
  </si>
  <si>
    <t>REQ-058</t>
  </si>
  <si>
    <t>VPN要件</t>
  </si>
  <si>
    <t>拠点間VPNトンネル数およびリモートアクセスVPN最大利用者数</t>
  </si>
  <si>
    <t>Tunnel/User</t>
  </si>
  <si>
    <t>REQ-059</t>
  </si>
  <si>
    <t>Firewall冗長方式</t>
  </si>
  <si>
    <t>Active/Standby、Active/Active等の冗長方式およびセッション同期要件</t>
  </si>
  <si>
    <t>REQ-060</t>
  </si>
  <si>
    <t>Wireless</t>
  </si>
  <si>
    <t>無線利用エリア</t>
  </si>
  <si>
    <t>拠点、フロア、床面積、会議室および特殊エリア</t>
  </si>
  <si>
    <t>REQ-061</t>
  </si>
  <si>
    <t>最大同時接続数</t>
  </si>
  <si>
    <t>拠点、フロアおよびエリア別の最大同時無線接続数</t>
  </si>
  <si>
    <t>REQ-062</t>
  </si>
  <si>
    <t>高密度エリア</t>
  </si>
  <si>
    <t>大会議室、研修室、食堂、イベントエリア等の高密度利用場所</t>
  </si>
  <si>
    <t>REQ-063</t>
  </si>
  <si>
    <t>無線アプリケーション</t>
  </si>
  <si>
    <t>Web会議、音声、業務端末、ゲスト、IoT等の無線利用用途</t>
  </si>
  <si>
    <t>REQ-064</t>
  </si>
  <si>
    <t>無線可用性</t>
  </si>
  <si>
    <t>AP、無線LANコントローラおよび管理基盤の冗長化要件</t>
  </si>
  <si>
    <t>REQ-065</t>
  </si>
  <si>
    <t>PoE要件</t>
  </si>
  <si>
    <t>APの給電規格、最大消費電力およびスイッチ側PoE余裕率</t>
  </si>
  <si>
    <t>W/規格</t>
  </si>
  <si>
    <t>REQ-066</t>
  </si>
  <si>
    <t>コスト</t>
  </si>
  <si>
    <t>予算上限</t>
  </si>
  <si>
    <t>機器、ライセンス、保守、構築を含む初期費用および年間費用の上限</t>
  </si>
  <si>
    <t>円</t>
  </si>
  <si>
    <t>REQ-067</t>
  </si>
  <si>
    <t>評価方針</t>
  </si>
  <si>
    <t>コスト優先、バランス、可用性優先または個別指定</t>
  </si>
  <si>
    <t>REQ-068</t>
  </si>
  <si>
    <t>TCO評価期間</t>
  </si>
  <si>
    <t>初期費用、ライセンス、保守費用を評価する期間</t>
  </si>
  <si>
    <t>REQ-069</t>
  </si>
  <si>
    <t>保守レベル</t>
  </si>
  <si>
    <t>24時間365日、平日日中、オンサイト時間等の必要保守条件</t>
  </si>
  <si>
    <t>REQ-070</t>
  </si>
  <si>
    <t>ライセンス条件</t>
  </si>
  <si>
    <t>サブスクリプション可否、契約期間および更新条件</t>
  </si>
  <si>
    <t>REQ-071</t>
  </si>
  <si>
    <t>ベンダー制約</t>
  </si>
  <si>
    <t>指定、推奨または採用不可となるベンダーおよび製品</t>
  </si>
  <si>
    <t>REQ-072</t>
  </si>
  <si>
    <t>製品ライフサイクル</t>
  </si>
  <si>
    <t>稼働開始時点で必要な販売期間および保守残存期間</t>
  </si>
  <si>
    <t>要件充足状況</t>
  </si>
  <si>
    <t>要件ヒアリングシートの入力状況を集計します。</t>
  </si>
  <si>
    <t>指標</t>
  </si>
  <si>
    <t>値</t>
  </si>
  <si>
    <t>判定基準</t>
  </si>
  <si>
    <t>説明</t>
  </si>
  <si>
    <t>対応</t>
  </si>
  <si>
    <t>全項目数</t>
  </si>
  <si>
    <t>-</t>
  </si>
  <si>
    <t>登録された確認項目数</t>
  </si>
  <si>
    <t>回答済み</t>
  </si>
  <si>
    <t>回答欄が空欄でない項目</t>
  </si>
  <si>
    <t>必須項目数</t>
  </si>
  <si>
    <t>必須と定義された項目</t>
  </si>
  <si>
    <t>必須未回答</t>
  </si>
  <si>
    <t>0</t>
  </si>
  <si>
    <t>必須だが回答が空欄</t>
  </si>
  <si>
    <t>入力してください</t>
  </si>
  <si>
    <t>全体回答率</t>
  </si>
  <si>
    <t>100%</t>
  </si>
  <si>
    <t>回答済み／全項目数</t>
  </si>
  <si>
    <t>未回答を確認</t>
  </si>
  <si>
    <t>判定</t>
  </si>
  <si>
    <t>次工程へ進行可</t>
  </si>
  <si>
    <t>必須未回答の有無による簡易判定</t>
  </si>
  <si>
    <t>課題・未決事項も確認</t>
  </si>
  <si>
    <t>課題・未決事項</t>
  </si>
  <si>
    <t>未確定事項、確認先、期限、設計への影響を管理します。</t>
  </si>
  <si>
    <t>課題ID</t>
  </si>
  <si>
    <t>関連要件ID</t>
  </si>
  <si>
    <t>件名</t>
  </si>
  <si>
    <t>内容</t>
  </si>
  <si>
    <t>影響</t>
  </si>
  <si>
    <t>担当</t>
  </si>
  <si>
    <t>期限</t>
  </si>
  <si>
    <t>状態</t>
  </si>
  <si>
    <t>対応結果</t>
  </si>
  <si>
    <t>ISS-001</t>
  </si>
  <si>
    <t>ISS-002</t>
  </si>
  <si>
    <t>ISS-003</t>
  </si>
  <si>
    <t>ISS-004</t>
  </si>
  <si>
    <t>ISS-005</t>
  </si>
  <si>
    <t>ISS-006</t>
  </si>
  <si>
    <t>ISS-007</t>
  </si>
  <si>
    <t>ISS-008</t>
  </si>
  <si>
    <t>ISS-009</t>
  </si>
  <si>
    <t>ISS-010</t>
  </si>
  <si>
    <t>ISS-011</t>
  </si>
  <si>
    <t>ISS-012</t>
  </si>
  <si>
    <t>ISS-013</t>
  </si>
  <si>
    <t>ISS-014</t>
  </si>
  <si>
    <t>ISS-015</t>
  </si>
  <si>
    <t>ISS-016</t>
  </si>
  <si>
    <t>ISS-017</t>
  </si>
  <si>
    <t>ISS-018</t>
  </si>
  <si>
    <t>ISS-019</t>
  </si>
  <si>
    <t>ISS-020</t>
  </si>
  <si>
    <t>ISS-021</t>
  </si>
  <si>
    <t>ISS-022</t>
  </si>
  <si>
    <t>ISS-023</t>
  </si>
  <si>
    <t>ISS-024</t>
  </si>
  <si>
    <t>ISS-025</t>
  </si>
  <si>
    <t>ISS-026</t>
  </si>
  <si>
    <t>ISS-027</t>
  </si>
  <si>
    <t>ISS-028</t>
  </si>
  <si>
    <t>ISS-029</t>
  </si>
  <si>
    <t>ISS-030</t>
  </si>
  <si>
    <t>ISS-031</t>
  </si>
  <si>
    <t>ISS-032</t>
  </si>
  <si>
    <t>ISS-033</t>
  </si>
  <si>
    <t>ISS-034</t>
  </si>
  <si>
    <t>ISS-035</t>
  </si>
  <si>
    <t>ISS-036</t>
  </si>
  <si>
    <t>ISS-037</t>
  </si>
  <si>
    <t>ISS-038</t>
  </si>
  <si>
    <t>ISS-039</t>
  </si>
  <si>
    <t>ISS-040</t>
  </si>
  <si>
    <t>ISS-041</t>
  </si>
  <si>
    <t>ISS-042</t>
  </si>
  <si>
    <t>ISS-043</t>
  </si>
  <si>
    <t>ISS-044</t>
  </si>
  <si>
    <t>ISS-045</t>
  </si>
  <si>
    <t>ISS-046</t>
  </si>
  <si>
    <t>ISS-047</t>
  </si>
  <si>
    <t>ISS-048</t>
  </si>
  <si>
    <t>ISS-049</t>
  </si>
  <si>
    <t>ISS-050</t>
  </si>
  <si>
    <t>ISS-051</t>
  </si>
  <si>
    <t>ISS-052</t>
  </si>
  <si>
    <t>ISS-053</t>
  </si>
  <si>
    <t>ISS-054</t>
  </si>
  <si>
    <t>ISS-055</t>
  </si>
  <si>
    <t>ISS-056</t>
  </si>
  <si>
    <t>ISS-057</t>
  </si>
  <si>
    <t>ISS-058</t>
  </si>
  <si>
    <t>ISS-059</t>
  </si>
  <si>
    <t>ISS-060</t>
  </si>
  <si>
    <t>ISS-061</t>
  </si>
  <si>
    <t>ISS-062</t>
  </si>
  <si>
    <t>ISS-063</t>
  </si>
  <si>
    <t>ISS-064</t>
  </si>
  <si>
    <t>ISS-065</t>
  </si>
  <si>
    <t>ISS-066</t>
  </si>
  <si>
    <t>ISS-067</t>
  </si>
  <si>
    <t>ISS-068</t>
  </si>
  <si>
    <t>ISS-069</t>
  </si>
  <si>
    <t>ISS-070</t>
  </si>
  <si>
    <t>ISS-071</t>
  </si>
  <si>
    <t>ISS-072</t>
  </si>
  <si>
    <t>ISS-073</t>
  </si>
  <si>
    <t>ISS-074</t>
  </si>
  <si>
    <t>ISS-075</t>
  </si>
  <si>
    <t>ISS-076</t>
  </si>
  <si>
    <t>ISS-077</t>
  </si>
  <si>
    <t>ISS-078</t>
  </si>
  <si>
    <t>ISS-079</t>
  </si>
  <si>
    <t>ISS-080</t>
  </si>
  <si>
    <t>ISS-081</t>
  </si>
  <si>
    <t>ISS-082</t>
  </si>
  <si>
    <t>ISS-083</t>
  </si>
  <si>
    <t>ISS-084</t>
  </si>
  <si>
    <t>ISS-085</t>
  </si>
  <si>
    <t>ISS-086</t>
  </si>
  <si>
    <t>ISS-087</t>
  </si>
  <si>
    <t>ISS-088</t>
  </si>
  <si>
    <t>ISS-089</t>
  </si>
  <si>
    <t>ISS-090</t>
  </si>
  <si>
    <t>ISS-091</t>
  </si>
  <si>
    <t>ISS-092</t>
  </si>
  <si>
    <t>ISS-093</t>
  </si>
  <si>
    <t>ISS-094</t>
  </si>
  <si>
    <t>ISS-095</t>
  </si>
  <si>
    <t>ISS-096</t>
  </si>
  <si>
    <t>ISS-097</t>
  </si>
  <si>
    <t>ISS-098</t>
  </si>
  <si>
    <t>ISS-099</t>
  </si>
  <si>
    <t>ISS-100</t>
  </si>
  <si>
    <t>参照資料一覧</t>
  </si>
  <si>
    <t>要件回答の根拠となる資料を登録します。</t>
  </si>
  <si>
    <t>資料ID</t>
  </si>
  <si>
    <t>資料名</t>
  </si>
  <si>
    <t>版数</t>
  </si>
  <si>
    <t>発行日</t>
  </si>
  <si>
    <t>所有者</t>
  </si>
  <si>
    <t>URL・保存場所</t>
  </si>
  <si>
    <t>DOC-001</t>
  </si>
  <si>
    <t>DOC-002</t>
  </si>
  <si>
    <t>DOC-003</t>
  </si>
  <si>
    <t>DOC-004</t>
  </si>
  <si>
    <t>DOC-005</t>
  </si>
  <si>
    <t>DOC-006</t>
  </si>
  <si>
    <t>DOC-007</t>
  </si>
  <si>
    <t>DOC-008</t>
  </si>
  <si>
    <t>DOC-009</t>
  </si>
  <si>
    <t>DOC-010</t>
  </si>
  <si>
    <t>DOC-011</t>
  </si>
  <si>
    <t>DOC-012</t>
  </si>
  <si>
    <t>DOC-013</t>
  </si>
  <si>
    <t>DOC-014</t>
  </si>
  <si>
    <t>DOC-015</t>
  </si>
  <si>
    <t>DOC-016</t>
  </si>
  <si>
    <t>DOC-017</t>
  </si>
  <si>
    <t>DOC-018</t>
  </si>
  <si>
    <t>DOC-019</t>
  </si>
  <si>
    <t>DOC-020</t>
  </si>
  <si>
    <t>DOC-021</t>
  </si>
  <si>
    <t>DOC-022</t>
  </si>
  <si>
    <t>DOC-023</t>
  </si>
  <si>
    <t>DOC-024</t>
  </si>
  <si>
    <t>DOC-025</t>
  </si>
  <si>
    <t>DOC-026</t>
  </si>
  <si>
    <t>DOC-027</t>
  </si>
  <si>
    <t>DOC-028</t>
  </si>
  <si>
    <t>DOC-029</t>
  </si>
  <si>
    <t>DOC-030</t>
  </si>
  <si>
    <t>DOC-031</t>
  </si>
  <si>
    <t>DOC-032</t>
  </si>
  <si>
    <t>DOC-033</t>
  </si>
  <si>
    <t>DOC-034</t>
  </si>
  <si>
    <t>DOC-035</t>
  </si>
  <si>
    <t>DOC-036</t>
  </si>
  <si>
    <t>DOC-037</t>
  </si>
  <si>
    <t>DOC-038</t>
  </si>
  <si>
    <t>DOC-039</t>
  </si>
  <si>
    <t>DOC-040</t>
  </si>
  <si>
    <t>DOC-041</t>
  </si>
  <si>
    <t>DOC-042</t>
  </si>
  <si>
    <t>DOC-043</t>
  </si>
  <si>
    <t>DOC-044</t>
  </si>
  <si>
    <t>DOC-045</t>
  </si>
  <si>
    <t>DOC-046</t>
  </si>
  <si>
    <t>DOC-047</t>
  </si>
  <si>
    <t>DOC-048</t>
  </si>
  <si>
    <t>DOC-049</t>
  </si>
  <si>
    <t>DOC-050</t>
  </si>
  <si>
    <t>課題状態</t>
  </si>
  <si>
    <t>要件定義</t>
  </si>
  <si>
    <t>有</t>
  </si>
  <si>
    <t>99%</t>
  </si>
  <si>
    <t>IP-VPN</t>
  </si>
  <si>
    <t>未着手</t>
  </si>
  <si>
    <t>基本設計</t>
  </si>
  <si>
    <t>無</t>
  </si>
  <si>
    <t>99.9%</t>
  </si>
  <si>
    <t>広域イーサネット</t>
  </si>
  <si>
    <t>確認中</t>
  </si>
  <si>
    <t>詳細設計</t>
  </si>
  <si>
    <t>未定</t>
  </si>
  <si>
    <t>99.99%</t>
  </si>
  <si>
    <t>Internet VPN</t>
  </si>
  <si>
    <t>回答待ち</t>
  </si>
  <si>
    <t>構築</t>
  </si>
  <si>
    <t>99.999%</t>
  </si>
  <si>
    <t>SD-WAN</t>
  </si>
  <si>
    <t>対応中</t>
  </si>
  <si>
    <t>更改</t>
  </si>
  <si>
    <t>個別指定</t>
  </si>
  <si>
    <t>閉域モバイル</t>
  </si>
  <si>
    <t>解決</t>
  </si>
  <si>
    <t>運用改善</t>
  </si>
  <si>
    <t>その他</t>
  </si>
  <si>
    <t>保留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</si>
</sst>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0"/>
      <color rgb="FF666666"/>
      <name val="Calibri"/>
    </font>
    <font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6" fontId="4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J76"/>
  <sheetViews>
    <sheetView showGridLines="0" tabSelected="1" workbookViewId="0">
      <pane ySplit="4" topLeftCell="A48" activePane="bottomLeft" state="frozen"/>
      <selection pane="bottomLeft" activeCell="I59" sqref="I59"/>
    </sheetView>
  </sheetViews>
  <sheetFormatPr defaultRowHeight="15"/>
  <cols>
    <col min="1" max="1" width="12" customWidth="1"/>
    <col min="2" max="2" width="13" customWidth="1"/>
    <col min="3" max="3" width="22" customWidth="1"/>
    <col min="4" max="4" width="40" customWidth="1"/>
    <col min="5" max="5" width="12" customWidth="1"/>
    <col min="6" max="6" width="30" customWidth="1"/>
    <col min="7" max="7" width="16" customWidth="1"/>
    <col min="8" max="8" width="28" customWidth="1"/>
    <col min="9" max="9" width="25" customWidth="1"/>
    <col width="24" customWidth="1" min="10" max="10"/>
  </cols>
  <sheetData>
    <row r="1" spans="1:9" ht="27.95" customHeight="1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30" customHeight="1">
      <c r="A2" s="5" t="s">
        <v>1</v>
      </c>
      <c r="B2" s="7"/>
      <c r="C2" s="7"/>
      <c r="D2" s="7"/>
      <c r="E2" s="7"/>
      <c r="F2" s="7"/>
      <c r="G2" s="7"/>
      <c r="H2" s="7"/>
      <c r="I2" s="7"/>
    </row>
    <row r="4" spans="1:9" ht="27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inlineStr">
        <is>
          <t>回答確認（自動）</t>
        </is>
      </c>
    </row>
    <row r="5" spans="1:9">
      <c r="A5" s="2" t="inlineStr">
        <is>
          <t>Q-001</t>
        </is>
      </c>
      <c r="B5" s="2" t="s">
        <v>12</v>
      </c>
      <c r="C5" s="2" t="s">
        <v>13</v>
      </c>
      <c r="D5" s="2" t="s">
        <v>14</v>
      </c>
      <c r="E5" s="2" t="s">
        <v>6</v>
      </c>
      <c r="F5" s="3"/>
      <c r="G5" s="2" t="s">
        <v>15</v>
      </c>
      <c r="H5" s="3"/>
      <c r="I5" s="3"/>
      <c r="J5" s="3" t="str">
        <f>IF(LEN(TRIM(F5&amp;""))=0,"未回答",IF(OR(TRIM(F5&amp;"")="未定",TRIM(F5&amp;"")="要確認",TRIM(F5&amp;"")="TBD",TRIM(F5&amp;"")="不明",TRIM(F5&amp;"")="未確認"),"未確定",IF(OR(TRIM(F5&amp;"")="対象外",TRIM(F5&amp;"")="適用なし"),"対象外・要確認","回答あり")))</f>
        <v>未回答</v>
      </c>
    </row>
    <row r="6" spans="1:9">
      <c r="A6" s="2" t="inlineStr">
        <is>
          <t>Q-002</t>
        </is>
      </c>
      <c r="B6" s="2" t="s">
        <v>12</v>
      </c>
      <c r="C6" s="2" t="s">
        <v>17</v>
      </c>
      <c r="D6" s="2" t="s">
        <v>18</v>
      </c>
      <c r="E6" s="2" t="s">
        <v>6</v>
      </c>
      <c r="F6" s="3"/>
      <c r="G6" s="2" t="s">
        <v>15</v>
      </c>
      <c r="H6" s="3"/>
      <c r="I6" s="3"/>
      <c r="J6" s="3" t="str">
        <f>IF(LEN(TRIM(F6&amp;""))=0,"未回答",IF(OR(TRIM(F6&amp;"")="未定",TRIM(F6&amp;"")="要確認",TRIM(F6&amp;"")="TBD",TRIM(F6&amp;"")="不明",TRIM(F6&amp;"")="未確認"),"未確定",IF(OR(TRIM(F6&amp;"")="対象外",TRIM(F6&amp;"")="適用なし"),"対象外・要確認","回答あり")))</f>
        <v>未回答</v>
      </c>
    </row>
    <row r="7" spans="1:9">
      <c r="A7" s="2" t="inlineStr">
        <is>
          <t>Q-003</t>
        </is>
      </c>
      <c r="B7" s="2" t="s">
        <v>12</v>
      </c>
      <c r="C7" s="2" t="s">
        <v>20</v>
      </c>
      <c r="D7" s="2" t="s">
        <v>21</v>
      </c>
      <c r="E7" s="2" t="s">
        <v>6</v>
      </c>
      <c r="F7" s="3"/>
      <c r="G7" s="2" t="s">
        <v>22</v>
      </c>
      <c r="H7" s="3"/>
      <c r="I7" s="3"/>
      <c r="J7" s="3" t="str">
        <f>IF(LEN(TRIM(F7&amp;""))=0,"未回答",IF(OR(TRIM(F7&amp;"")="未定",TRIM(F7&amp;"")="要確認",TRIM(F7&amp;"")="TBD",TRIM(F7&amp;"")="不明",TRIM(F7&amp;"")="未確認"),"未確定",IF(OR(TRIM(F7&amp;"")="対象外",TRIM(F7&amp;"")="適用なし"),"対象外・要確認","回答あり")))</f>
        <v>未回答</v>
      </c>
    </row>
    <row r="8" spans="1:9">
      <c r="A8" s="2" t="inlineStr">
        <is>
          <t>Q-004</t>
        </is>
      </c>
      <c r="B8" s="2" t="s">
        <v>12</v>
      </c>
      <c r="C8" s="2" t="s">
        <v>24</v>
      </c>
      <c r="D8" s="2" t="s">
        <v>25</v>
      </c>
      <c r="E8" s="2" t="s">
        <v>6</v>
      </c>
      <c r="F8" s="3"/>
      <c r="G8" s="2" t="s">
        <v>26</v>
      </c>
      <c r="H8" s="3"/>
      <c r="I8" s="3"/>
      <c r="J8" s="3" t="str">
        <f>IF(LEN(TRIM(F8&amp;""))=0,"未回答",IF(OR(TRIM(F8&amp;"")="未定",TRIM(F8&amp;"")="要確認",TRIM(F8&amp;"")="TBD",TRIM(F8&amp;"")="不明",TRIM(F8&amp;"")="未確認"),"未確定",IF(OR(TRIM(F8&amp;"")="対象外",TRIM(F8&amp;"")="適用なし"),"対象外・要確認","回答あり")))</f>
        <v>未回答</v>
      </c>
    </row>
    <row r="9" spans="1:9">
      <c r="A9" s="2" t="inlineStr">
        <is>
          <t>Q-005</t>
        </is>
      </c>
      <c r="B9" s="2" t="s">
        <v>12</v>
      </c>
      <c r="C9" s="2" t="s">
        <v>28</v>
      </c>
      <c r="D9" s="2" t="s">
        <v>29</v>
      </c>
      <c r="E9" s="2" t="s">
        <v>6</v>
      </c>
      <c r="F9" s="3"/>
      <c r="G9" s="2" t="s">
        <v>30</v>
      </c>
      <c r="H9" s="3"/>
      <c r="I9" s="3"/>
      <c r="J9" s="3" t="str">
        <f>IF(LEN(TRIM(F9&amp;""))=0,"未回答",IF(OR(TRIM(F9&amp;"")="未定",TRIM(F9&amp;"")="要確認",TRIM(F9&amp;"")="TBD",TRIM(F9&amp;"")="不明",TRIM(F9&amp;"")="未確認"),"未確定",IF(OR(TRIM(F9&amp;"")="対象外",TRIM(F9&amp;"")="適用なし"),"対象外・要確認","回答あり")))</f>
        <v>未回答</v>
      </c>
    </row>
    <row r="10" spans="1:9">
      <c r="A10" s="2" t="inlineStr">
        <is>
          <t>Q-006</t>
        </is>
      </c>
      <c r="B10" s="2" t="s">
        <v>32</v>
      </c>
      <c r="C10" s="2" t="s">
        <v>33</v>
      </c>
      <c r="D10" s="2" t="s">
        <v>34</v>
      </c>
      <c r="E10" s="2" t="s">
        <v>6</v>
      </c>
      <c r="F10" s="3"/>
      <c r="G10" s="2" t="s">
        <v>22</v>
      </c>
      <c r="H10" s="3"/>
      <c r="I10" s="3"/>
      <c r="J10" s="3" t="str">
        <f>IF(LEN(TRIM(F10&amp;""))=0,"未回答",IF(OR(TRIM(F10&amp;"")="未定",TRIM(F10&amp;"")="要確認",TRIM(F10&amp;"")="TBD",TRIM(F10&amp;"")="不明",TRIM(F10&amp;"")="未確認"),"未確定",IF(OR(TRIM(F10&amp;"")="対象外",TRIM(F10&amp;"")="適用なし"),"対象外・要確認","回答あり")))</f>
        <v>未回答</v>
      </c>
    </row>
    <row r="11" spans="1:9">
      <c r="A11" s="2" t="inlineStr">
        <is>
          <t>Q-007</t>
        </is>
      </c>
      <c r="B11" s="2" t="s">
        <v>32</v>
      </c>
      <c r="C11" s="2" t="s">
        <v>36</v>
      </c>
      <c r="D11" s="2" t="s">
        <v>37</v>
      </c>
      <c r="E11" s="2" t="s">
        <v>38</v>
      </c>
      <c r="F11" s="3"/>
      <c r="G11" s="2" t="s">
        <v>39</v>
      </c>
      <c r="H11" s="3"/>
      <c r="I11" s="3"/>
      <c r="J11" s="3" t="str">
        <f>IF(LEN(TRIM(F11&amp;""))=0,"未回答",IF(OR(TRIM(F11&amp;"")="未定",TRIM(F11&amp;"")="要確認",TRIM(F11&amp;"")="TBD",TRIM(F11&amp;"")="不明",TRIM(F11&amp;"")="未確認"),"未確定",IF(OR(TRIM(F11&amp;"")="対象外",TRIM(F11&amp;"")="適用なし"),"対象外・要確認","回答あり")))</f>
        <v>未回答</v>
      </c>
    </row>
    <row r="12" spans="1:9">
      <c r="A12" s="2" t="inlineStr">
        <is>
          <t>Q-008</t>
        </is>
      </c>
      <c r="B12" s="2" t="s">
        <v>41</v>
      </c>
      <c r="C12" s="2" t="s">
        <v>42</v>
      </c>
      <c r="D12" s="2" t="s">
        <v>43</v>
      </c>
      <c r="E12" s="2" t="s">
        <v>6</v>
      </c>
      <c r="F12" s="3"/>
      <c r="G12" s="2" t="s">
        <v>44</v>
      </c>
      <c r="H12" s="3"/>
      <c r="I12" s="3"/>
      <c r="J12" s="3" t="str">
        <f>IF(LEN(TRIM(F12&amp;""))=0,"未回答",IF(OR(TRIM(F12&amp;"")="未定",TRIM(F12&amp;"")="要確認",TRIM(F12&amp;"")="TBD",TRIM(F12&amp;"")="不明",TRIM(F12&amp;"")="未確認"),"未確定",IF(OR(TRIM(F12&amp;"")="対象外",TRIM(F12&amp;"")="適用なし"),"対象外・要確認","回答あり")))</f>
        <v>未回答</v>
      </c>
    </row>
    <row r="13" spans="1:9">
      <c r="A13" s="2" t="inlineStr">
        <is>
          <t>Q-009</t>
        </is>
      </c>
      <c r="B13" s="2" t="s">
        <v>46</v>
      </c>
      <c r="C13" s="2" t="s">
        <v>47</v>
      </c>
      <c r="D13" s="2" t="s">
        <v>48</v>
      </c>
      <c r="E13" s="2" t="s">
        <v>6</v>
      </c>
      <c r="F13" s="3"/>
      <c r="G13" s="2" t="s">
        <v>49</v>
      </c>
      <c r="H13" s="3"/>
      <c r="I13" s="3"/>
      <c r="J13" s="3" t="str">
        <f>IF(LEN(TRIM(F13&amp;""))=0,"未回答",IF(OR(TRIM(F13&amp;"")="未定",TRIM(F13&amp;"")="要確認",TRIM(F13&amp;"")="TBD",TRIM(F13&amp;"")="不明",TRIM(F13&amp;"")="未確認"),"未確定",IF(OR(TRIM(F13&amp;"")="対象外",TRIM(F13&amp;"")="適用なし"),"対象外・要確認","回答あり")))</f>
        <v>未回答</v>
      </c>
    </row>
    <row r="14" spans="1:9">
      <c r="A14" s="2" t="inlineStr">
        <is>
          <t>Q-010</t>
        </is>
      </c>
      <c r="B14" s="2" t="s">
        <v>46</v>
      </c>
      <c r="C14" s="2" t="s">
        <v>51</v>
      </c>
      <c r="D14" s="2" t="s">
        <v>52</v>
      </c>
      <c r="E14" s="2" t="s">
        <v>6</v>
      </c>
      <c r="F14" s="3"/>
      <c r="G14" s="2" t="s">
        <v>53</v>
      </c>
      <c r="H14" s="3"/>
      <c r="I14" s="3"/>
      <c r="J14" s="3" t="str">
        <f>IF(LEN(TRIM(F14&amp;""))=0,"未回答",IF(OR(TRIM(F14&amp;"")="未定",TRIM(F14&amp;"")="要確認",TRIM(F14&amp;"")="TBD",TRIM(F14&amp;"")="不明",TRIM(F14&amp;"")="未確認"),"未確定",IF(OR(TRIM(F14&amp;"")="対象外",TRIM(F14&amp;"")="適用なし"),"対象外・要確認","回答あり")))</f>
        <v>未回答</v>
      </c>
    </row>
    <row r="15" spans="1:9">
      <c r="A15" s="2" t="inlineStr">
        <is>
          <t>Q-011</t>
        </is>
      </c>
      <c r="B15" s="2" t="s">
        <v>55</v>
      </c>
      <c r="C15" s="2" t="s">
        <v>56</v>
      </c>
      <c r="D15" s="2" t="s">
        <v>57</v>
      </c>
      <c r="E15" s="2" t="s">
        <v>6</v>
      </c>
      <c r="F15" s="3"/>
      <c r="G15" s="2" t="s">
        <v>22</v>
      </c>
      <c r="H15" s="3"/>
      <c r="I15" s="3"/>
      <c r="J15" s="3" t="str">
        <f>IF(LEN(TRIM(F15&amp;""))=0,"未回答",IF(OR(TRIM(F15&amp;"")="未定",TRIM(F15&amp;"")="要確認",TRIM(F15&amp;"")="TBD",TRIM(F15&amp;"")="不明",TRIM(F15&amp;"")="未確認"),"未確定",IF(OR(TRIM(F15&amp;"")="対象外",TRIM(F15&amp;"")="適用なし"),"対象外・要確認","回答あり")))</f>
        <v>未回答</v>
      </c>
    </row>
    <row r="16" spans="1:9">
      <c r="A16" s="2" t="inlineStr">
        <is>
          <t>Q-012</t>
        </is>
      </c>
      <c r="B16" s="2" t="s">
        <v>55</v>
      </c>
      <c r="C16" s="2" t="s">
        <v>59</v>
      </c>
      <c r="D16" s="2" t="s">
        <v>60</v>
      </c>
      <c r="E16" s="2" t="s">
        <v>6</v>
      </c>
      <c r="F16" s="3"/>
      <c r="G16" s="2" t="s">
        <v>39</v>
      </c>
      <c r="H16" s="3"/>
      <c r="I16" s="3"/>
      <c r="J16" s="3" t="str">
        <f>IF(LEN(TRIM(F16&amp;""))=0,"未回答",IF(OR(TRIM(F16&amp;"")="未定",TRIM(F16&amp;"")="要確認",TRIM(F16&amp;"")="TBD",TRIM(F16&amp;"")="不明",TRIM(F16&amp;"")="未確認"),"未確定",IF(OR(TRIM(F16&amp;"")="対象外",TRIM(F16&amp;"")="適用なし"),"対象外・要確認","回答あり")))</f>
        <v>未回答</v>
      </c>
    </row>
    <row r="17" spans="1:9">
      <c r="A17" s="2" t="inlineStr">
        <is>
          <t>Q-013</t>
        </is>
      </c>
      <c r="B17" s="2" t="s">
        <v>62</v>
      </c>
      <c r="C17" s="2" t="s">
        <v>63</v>
      </c>
      <c r="D17" s="2" t="s">
        <v>64</v>
      </c>
      <c r="E17" s="2" t="s">
        <v>6</v>
      </c>
      <c r="F17" s="3"/>
      <c r="G17" s="2" t="s">
        <v>65</v>
      </c>
      <c r="H17" s="3"/>
      <c r="I17" s="3"/>
      <c r="J17" s="3" t="str">
        <f>IF(LEN(TRIM(F17&amp;""))=0,"未回答",IF(OR(TRIM(F17&amp;"")="未定",TRIM(F17&amp;"")="要確認",TRIM(F17&amp;"")="TBD",TRIM(F17&amp;"")="不明",TRIM(F17&amp;"")="未確認"),"未確定",IF(OR(TRIM(F17&amp;"")="対象外",TRIM(F17&amp;"")="適用なし"),"対象外・要確認","回答あり")))</f>
        <v>未回答</v>
      </c>
    </row>
    <row r="18" spans="1:9">
      <c r="A18" s="2" t="inlineStr">
        <is>
          <t>Q-014</t>
        </is>
      </c>
      <c r="B18" s="2" t="s">
        <v>62</v>
      </c>
      <c r="C18" s="2" t="s">
        <v>67</v>
      </c>
      <c r="D18" s="2" t="s">
        <v>68</v>
      </c>
      <c r="E18" s="2" t="s">
        <v>38</v>
      </c>
      <c r="F18" s="3"/>
      <c r="G18" s="2" t="s">
        <v>69</v>
      </c>
      <c r="H18" s="3"/>
      <c r="I18" s="3"/>
      <c r="J18" s="3" t="str">
        <f>IF(LEN(TRIM(F18&amp;""))=0,"未回答",IF(OR(TRIM(F18&amp;"")="未定",TRIM(F18&amp;"")="要確認",TRIM(F18&amp;"")="TBD",TRIM(F18&amp;"")="不明",TRIM(F18&amp;"")="未確認"),"未確定",IF(OR(TRIM(F18&amp;"")="対象外",TRIM(F18&amp;"")="適用なし"),"対象外・要確認","回答あり")))</f>
        <v>未回答</v>
      </c>
    </row>
    <row r="19" spans="1:9">
      <c r="A19" s="2" t="inlineStr">
        <is>
          <t>Q-015</t>
        </is>
      </c>
      <c r="B19" s="2" t="s">
        <v>71</v>
      </c>
      <c r="C19" s="2" t="s">
        <v>72</v>
      </c>
      <c r="D19" s="2" t="s">
        <v>73</v>
      </c>
      <c r="E19" s="2" t="s">
        <v>38</v>
      </c>
      <c r="F19" s="3"/>
      <c r="G19" s="2" t="s">
        <v>22</v>
      </c>
      <c r="H19" s="3"/>
      <c r="I19" s="3"/>
      <c r="J19" s="3" t="str">
        <f>IF(LEN(TRIM(F19&amp;""))=0,"未回答",IF(OR(TRIM(F19&amp;"")="未定",TRIM(F19&amp;"")="要確認",TRIM(F19&amp;"")="TBD",TRIM(F19&amp;"")="不明",TRIM(F19&amp;"")="未確認"),"未確定",IF(OR(TRIM(F19&amp;"")="対象外",TRIM(F19&amp;"")="適用なし"),"対象外・要確認","回答あり")))</f>
        <v>未回答</v>
      </c>
    </row>
    <row r="20" spans="1:9">
      <c r="A20" s="2" t="inlineStr">
        <is>
          <t>Q-016</t>
        </is>
      </c>
      <c r="B20" s="2" t="s">
        <v>75</v>
      </c>
      <c r="C20" s="2" t="s">
        <v>76</v>
      </c>
      <c r="D20" s="2" t="s">
        <v>77</v>
      </c>
      <c r="E20" s="2" t="s">
        <v>6</v>
      </c>
      <c r="F20" s="3"/>
      <c r="G20" s="2" t="s">
        <v>39</v>
      </c>
      <c r="H20" s="3"/>
      <c r="I20" s="3"/>
      <c r="J20" s="3" t="str">
        <f>IF(LEN(TRIM(F20&amp;""))=0,"未回答",IF(OR(TRIM(F20&amp;"")="未定",TRIM(F20&amp;"")="要確認",TRIM(F20&amp;"")="TBD",TRIM(F20&amp;"")="不明",TRIM(F20&amp;"")="未確認"),"未確定",IF(OR(TRIM(F20&amp;"")="対象外",TRIM(F20&amp;"")="適用なし"),"対象外・要確認","回答あり")))</f>
        <v>未回答</v>
      </c>
    </row>
    <row r="21" spans="1:9">
      <c r="A21" s="2" t="inlineStr">
        <is>
          <t>Q-017</t>
        </is>
      </c>
      <c r="B21" s="2" t="s">
        <v>79</v>
      </c>
      <c r="C21" s="2" t="s">
        <v>80</v>
      </c>
      <c r="D21" s="2" t="s">
        <v>81</v>
      </c>
      <c r="E21" s="2" t="s">
        <v>6</v>
      </c>
      <c r="F21" s="3"/>
      <c r="G21" s="2" t="s">
        <v>30</v>
      </c>
      <c r="H21" s="3"/>
      <c r="I21" s="3"/>
      <c r="J21" s="3" t="str">
        <f>IF(LEN(TRIM(F21&amp;""))=0,"未回答",IF(OR(TRIM(F21&amp;"")="未定",TRIM(F21&amp;"")="要確認",TRIM(F21&amp;"")="TBD",TRIM(F21&amp;"")="不明",TRIM(F21&amp;"")="未確認"),"未確定",IF(OR(TRIM(F21&amp;"")="対象外",TRIM(F21&amp;"")="適用なし"),"対象外・要確認","回答あり")))</f>
        <v>未回答</v>
      </c>
    </row>
    <row r="22" spans="1:9">
      <c r="A22" s="2" t="inlineStr">
        <is>
          <t>Q-018</t>
        </is>
      </c>
      <c r="B22" s="2" t="s">
        <v>83</v>
      </c>
      <c r="C22" s="2" t="s">
        <v>84</v>
      </c>
      <c r="D22" s="2" t="s">
        <v>85</v>
      </c>
      <c r="E22" s="2" t="s">
        <v>6</v>
      </c>
      <c r="F22" s="3"/>
      <c r="G22" s="2" t="s">
        <v>39</v>
      </c>
      <c r="H22" s="3"/>
      <c r="I22" s="3"/>
      <c r="J22" s="3" t="str">
        <f>IF(LEN(TRIM(F22&amp;""))=0,"未回答",IF(OR(TRIM(F22&amp;"")="未定",TRIM(F22&amp;"")="要確認",TRIM(F22&amp;"")="TBD",TRIM(F22&amp;"")="不明",TRIM(F22&amp;"")="未確認"),"未確定",IF(OR(TRIM(F22&amp;"")="対象外",TRIM(F22&amp;"")="適用なし"),"対象外・要確認","回答あり")))</f>
        <v>未回答</v>
      </c>
    </row>
    <row r="23" spans="1:9">
      <c r="A23" s="2" t="inlineStr">
        <is>
          <t>Q-019</t>
        </is>
      </c>
      <c r="B23" s="2" t="s">
        <v>83</v>
      </c>
      <c r="C23" s="2" t="s">
        <v>87</v>
      </c>
      <c r="D23" s="2" t="s">
        <v>88</v>
      </c>
      <c r="E23" s="2" t="s">
        <v>6</v>
      </c>
      <c r="F23" s="3"/>
      <c r="G23" s="2" t="s">
        <v>39</v>
      </c>
      <c r="H23" s="3"/>
      <c r="I23" s="3"/>
      <c r="J23" s="3" t="str">
        <f>IF(LEN(TRIM(F23&amp;""))=0,"未回答",IF(OR(TRIM(F23&amp;"")="未定",TRIM(F23&amp;"")="要確認",TRIM(F23&amp;"")="TBD",TRIM(F23&amp;"")="不明",TRIM(F23&amp;"")="未確認"),"未確定",IF(OR(TRIM(F23&amp;"")="対象外",TRIM(F23&amp;"")="適用なし"),"対象外・要確認","回答あり")))</f>
        <v>未回答</v>
      </c>
    </row>
    <row r="24" spans="1:9">
      <c r="A24" s="2" t="inlineStr">
        <is>
          <t>Q-020</t>
        </is>
      </c>
      <c r="B24" s="2" t="s">
        <v>90</v>
      </c>
      <c r="C24" s="2" t="s">
        <v>91</v>
      </c>
      <c r="D24" s="2" t="s">
        <v>92</v>
      </c>
      <c r="E24" s="2" t="s">
        <v>6</v>
      </c>
      <c r="F24" s="3"/>
      <c r="G24" s="2" t="s">
        <v>30</v>
      </c>
      <c r="H24" s="3"/>
      <c r="I24" s="3"/>
      <c r="J24" s="3" t="str">
        <f>IF(LEN(TRIM(F24&amp;""))=0,"未回答",IF(OR(TRIM(F24&amp;"")="未定",TRIM(F24&amp;"")="要確認",TRIM(F24&amp;"")="TBD",TRIM(F24&amp;"")="不明",TRIM(F24&amp;"")="未確認"),"未確定",IF(OR(TRIM(F24&amp;"")="対象外",TRIM(F24&amp;"")="適用なし"),"対象外・要確認","回答あり")))</f>
        <v>未回答</v>
      </c>
    </row>
    <row r="25" spans="1:9">
      <c r="A25" s="2" t="inlineStr">
        <is>
          <t>Q-021</t>
        </is>
      </c>
      <c r="B25" s="2" t="s">
        <v>94</v>
      </c>
      <c r="C25" s="2" t="s">
        <v>95</v>
      </c>
      <c r="D25" s="2" t="s">
        <v>96</v>
      </c>
      <c r="E25" s="2" t="s">
        <v>6</v>
      </c>
      <c r="F25" s="3"/>
      <c r="G25" s="2" t="s">
        <v>39</v>
      </c>
      <c r="H25" s="3"/>
      <c r="I25" s="3"/>
      <c r="J25" s="3" t="str">
        <f>IF(LEN(TRIM(F25&amp;""))=0,"未回答",IF(OR(TRIM(F25&amp;"")="未定",TRIM(F25&amp;"")="要確認",TRIM(F25&amp;"")="TBD",TRIM(F25&amp;"")="不明",TRIM(F25&amp;"")="未確認"),"未確定",IF(OR(TRIM(F25&amp;"")="対象外",TRIM(F25&amp;"")="適用なし"),"対象外・要確認","回答あり")))</f>
        <v>未回答</v>
      </c>
    </row>
    <row r="26" spans="1:9">
      <c r="A26" s="2" t="inlineStr">
        <is>
          <t>Q-022</t>
        </is>
      </c>
      <c r="B26" s="2" t="s">
        <v>94</v>
      </c>
      <c r="C26" s="2" t="s">
        <v>98</v>
      </c>
      <c r="D26" s="2" t="s">
        <v>99</v>
      </c>
      <c r="E26" s="2" t="s">
        <v>6</v>
      </c>
      <c r="F26" s="3"/>
      <c r="G26" s="2" t="s">
        <v>39</v>
      </c>
      <c r="H26" s="3"/>
      <c r="I26" s="3"/>
      <c r="J26" s="3" t="str">
        <f>IF(LEN(TRIM(F26&amp;""))=0,"未回答",IF(OR(TRIM(F26&amp;"")="未定",TRIM(F26&amp;"")="要確認",TRIM(F26&amp;"")="TBD",TRIM(F26&amp;"")="不明",TRIM(F26&amp;"")="未確認"),"未確定",IF(OR(TRIM(F26&amp;"")="対象外",TRIM(F26&amp;"")="適用なし"),"対象外・要確認","回答あり")))</f>
        <v>未回答</v>
      </c>
    </row>
    <row r="27" spans="1:9">
      <c r="A27" s="2" t="inlineStr">
        <is>
          <t>Q-023</t>
        </is>
      </c>
      <c r="B27" s="2" t="s">
        <v>94</v>
      </c>
      <c r="C27" s="2" t="s">
        <v>101</v>
      </c>
      <c r="D27" s="2" t="s">
        <v>102</v>
      </c>
      <c r="E27" s="2" t="s">
        <v>6</v>
      </c>
      <c r="F27" s="3"/>
      <c r="G27" s="2" t="s">
        <v>39</v>
      </c>
      <c r="H27" s="3"/>
      <c r="I27" s="3"/>
      <c r="J27" s="3" t="str">
        <f>IF(LEN(TRIM(F27&amp;""))=0,"未回答",IF(OR(TRIM(F27&amp;"")="未定",TRIM(F27&amp;"")="要確認",TRIM(F27&amp;"")="TBD",TRIM(F27&amp;"")="不明",TRIM(F27&amp;"")="未確認"),"未確定",IF(OR(TRIM(F27&amp;"")="対象外",TRIM(F27&amp;"")="適用なし"),"対象外・要確認","回答あり")))</f>
        <v>未回答</v>
      </c>
    </row>
    <row r="28" spans="1:9">
      <c r="A28" s="2" t="inlineStr">
        <is>
          <t>Q-024</t>
        </is>
      </c>
      <c r="B28" s="2" t="s">
        <v>104</v>
      </c>
      <c r="C28" s="2" t="s">
        <v>105</v>
      </c>
      <c r="D28" s="2" t="s">
        <v>106</v>
      </c>
      <c r="E28" s="2" t="s">
        <v>6</v>
      </c>
      <c r="F28" s="3"/>
      <c r="G28" s="2" t="s">
        <v>39</v>
      </c>
      <c r="H28" s="3"/>
      <c r="I28" s="3"/>
      <c r="J28" s="3" t="str">
        <f>IF(LEN(TRIM(F28&amp;""))=0,"未回答",IF(OR(TRIM(F28&amp;"")="未定",TRIM(F28&amp;"")="要確認",TRIM(F28&amp;"")="TBD",TRIM(F28&amp;"")="不明",TRIM(F28&amp;"")="未確認"),"未確定",IF(OR(TRIM(F28&amp;"")="対象外",TRIM(F28&amp;"")="適用なし"),"対象外・要確認","回答あり")))</f>
        <v>未回答</v>
      </c>
    </row>
    <row r="29" spans="1:9">
      <c r="A29" s="2" t="inlineStr">
        <is>
          <t>Q-025</t>
        </is>
      </c>
      <c r="B29" s="2" t="s">
        <v>104</v>
      </c>
      <c r="C29" s="2" t="s">
        <v>108</v>
      </c>
      <c r="D29" s="2" t="s">
        <v>109</v>
      </c>
      <c r="E29" s="2" t="s">
        <v>6</v>
      </c>
      <c r="F29" s="3"/>
      <c r="G29" s="2" t="s">
        <v>39</v>
      </c>
      <c r="H29" s="3"/>
      <c r="I29" s="3"/>
      <c r="J29" s="3" t="str">
        <f>IF(LEN(TRIM(F29&amp;""))=0,"未回答",IF(OR(TRIM(F29&amp;"")="未定",TRIM(F29&amp;"")="要確認",TRIM(F29&amp;"")="TBD",TRIM(F29&amp;"")="不明",TRIM(F29&amp;"")="未確認"),"未確定",IF(OR(TRIM(F29&amp;"")="対象外",TRIM(F29&amp;"")="適用なし"),"対象外・要確認","回答あり")))</f>
        <v>未回答</v>
      </c>
    </row>
    <row r="30" spans="1:9">
      <c r="A30" s="2" t="inlineStr">
        <is>
          <t>Q-026</t>
        </is>
      </c>
      <c r="B30" s="2" t="s">
        <v>111</v>
      </c>
      <c r="C30" s="2" t="s">
        <v>112</v>
      </c>
      <c r="D30" s="2" t="s">
        <v>113</v>
      </c>
      <c r="E30" s="2" t="s">
        <v>38</v>
      </c>
      <c r="F30" s="3"/>
      <c r="G30" s="2" t="s">
        <v>39</v>
      </c>
      <c r="H30" s="3"/>
      <c r="I30" s="3"/>
      <c r="J30" s="3" t="str">
        <f>IF(LEN(TRIM(F30&amp;""))=0,"未回答",IF(OR(TRIM(F30&amp;"")="未定",TRIM(F30&amp;"")="要確認",TRIM(F30&amp;"")="TBD",TRIM(F30&amp;"")="不明",TRIM(F30&amp;"")="未確認"),"未確定",IF(OR(TRIM(F30&amp;"")="対象外",TRIM(F30&amp;"")="適用なし"),"対象外・要確認","回答あり")))</f>
        <v>未回答</v>
      </c>
    </row>
    <row r="31" spans="1:9">
      <c r="A31" s="2" t="inlineStr">
        <is>
          <t>Q-027</t>
        </is>
      </c>
      <c r="B31" s="2" t="s">
        <v>111</v>
      </c>
      <c r="C31" s="2" t="s">
        <v>115</v>
      </c>
      <c r="D31" s="2" t="s">
        <v>116</v>
      </c>
      <c r="E31" s="2" t="s">
        <v>6</v>
      </c>
      <c r="F31" s="3"/>
      <c r="G31" s="2" t="s">
        <v>39</v>
      </c>
      <c r="H31" s="3"/>
      <c r="I31" s="3"/>
      <c r="J31" s="3" t="str">
        <f>IF(LEN(TRIM(F31&amp;""))=0,"未回答",IF(OR(TRIM(F31&amp;"")="未定",TRIM(F31&amp;"")="要確認",TRIM(F31&amp;"")="TBD",TRIM(F31&amp;"")="不明",TRIM(F31&amp;"")="未確認"),"未確定",IF(OR(TRIM(F31&amp;"")="対象外",TRIM(F31&amp;"")="適用なし"),"対象外・要確認","回答あり")))</f>
        <v>未回答</v>
      </c>
    </row>
    <row r="32" spans="1:9">
      <c r="A32" s="2" t="inlineStr">
        <is>
          <t>Q-028</t>
        </is>
      </c>
      <c r="B32" s="2" t="s">
        <v>118</v>
      </c>
      <c r="C32" s="2" t="s">
        <v>119</v>
      </c>
      <c r="D32" s="2" t="s">
        <v>120</v>
      </c>
      <c r="E32" s="2" t="s">
        <v>6</v>
      </c>
      <c r="F32" s="3"/>
      <c r="G32" s="2" t="s">
        <v>30</v>
      </c>
      <c r="H32" s="3"/>
      <c r="I32" s="3"/>
      <c r="J32" s="3" t="str">
        <f>IF(LEN(TRIM(F32&amp;""))=0,"未回答",IF(OR(TRIM(F32&amp;"")="未定",TRIM(F32&amp;"")="要確認",TRIM(F32&amp;"")="TBD",TRIM(F32&amp;"")="不明",TRIM(F32&amp;"")="未確認"),"未確定",IF(OR(TRIM(F32&amp;"")="対象外",TRIM(F32&amp;"")="適用なし"),"対象外・要確認","回答あり")))</f>
        <v>未回答</v>
      </c>
    </row>
    <row r="33" spans="1:9">
      <c r="A33" s="2" t="inlineStr">
        <is>
          <t>Q-029</t>
        </is>
      </c>
      <c r="B33" s="2" t="s">
        <v>46</v>
      </c>
      <c r="C33" s="2" t="s">
        <v>122</v>
      </c>
      <c r="D33" s="2" t="s">
        <v>123</v>
      </c>
      <c r="E33" s="2" t="s">
        <v>6</v>
      </c>
      <c r="F33" s="3"/>
      <c r="G33" s="2" t="s">
        <v>53</v>
      </c>
      <c r="H33" s="3"/>
      <c r="I33" s="3"/>
      <c r="J33" s="3" t="str">
        <f>IF(LEN(TRIM(F33&amp;""))=0,"未回答",IF(OR(TRIM(F33&amp;"")="未定",TRIM(F33&amp;"")="要確認",TRIM(F33&amp;"")="TBD",TRIM(F33&amp;"")="不明",TRIM(F33&amp;"")="未確認"),"未確定",IF(OR(TRIM(F33&amp;"")="対象外",TRIM(F33&amp;"")="適用なし"),"対象外・要確認","回答あり")))</f>
        <v>未回答</v>
      </c>
    </row>
    <row r="34" spans="1:9" ht="30">
      <c r="A34" s="2" t="inlineStr">
        <is>
          <t>Q-030</t>
        </is>
      </c>
      <c r="B34" s="2" t="s">
        <v>46</v>
      </c>
      <c r="C34" s="2" t="s">
        <v>125</v>
      </c>
      <c r="D34" s="2" t="s">
        <v>126</v>
      </c>
      <c r="E34" s="2" t="s">
        <v>38</v>
      </c>
      <c r="F34" s="3"/>
      <c r="G34" s="2" t="s">
        <v>53</v>
      </c>
      <c r="H34" s="3"/>
      <c r="I34" s="3"/>
      <c r="J34" s="3" t="str">
        <f>IF(LEN(TRIM(F34&amp;""))=0,"未回答",IF(OR(TRIM(F34&amp;"")="未定",TRIM(F34&amp;"")="要確認",TRIM(F34&amp;"")="TBD",TRIM(F34&amp;"")="不明",TRIM(F34&amp;"")="未確認"),"未確定",IF(OR(TRIM(F34&amp;"")="対象外",TRIM(F34&amp;"")="適用なし"),"対象外・要確認","回答あり")))</f>
        <v>未回答</v>
      </c>
    </row>
    <row r="35" spans="1:9" ht="30">
      <c r="A35" s="2" t="inlineStr">
        <is>
          <t>Q-031</t>
        </is>
      </c>
      <c r="B35" s="2" t="s">
        <v>46</v>
      </c>
      <c r="C35" s="2" t="s">
        <v>128</v>
      </c>
      <c r="D35" s="2" t="s">
        <v>129</v>
      </c>
      <c r="E35" s="2" t="s">
        <v>38</v>
      </c>
      <c r="F35" s="3"/>
      <c r="G35" s="2" t="s">
        <v>53</v>
      </c>
      <c r="H35" s="3"/>
      <c r="I35" s="3"/>
      <c r="J35" s="3" t="str">
        <f>IF(LEN(TRIM(F35&amp;""))=0,"未回答",IF(OR(TRIM(F35&amp;"")="未定",TRIM(F35&amp;"")="要確認",TRIM(F35&amp;"")="TBD",TRIM(F35&amp;"")="不明",TRIM(F35&amp;"")="未確認"),"未確定",IF(OR(TRIM(F35&amp;"")="対象外",TRIM(F35&amp;"")="適用なし"),"対象外・要確認","回答あり")))</f>
        <v>未回答</v>
      </c>
    </row>
    <row r="36" spans="1:9">
      <c r="A36" s="2" t="inlineStr">
        <is>
          <t>Q-032</t>
        </is>
      </c>
      <c r="B36" s="2" t="s">
        <v>46</v>
      </c>
      <c r="C36" s="2" t="s">
        <v>131</v>
      </c>
      <c r="D36" s="2" t="s">
        <v>132</v>
      </c>
      <c r="E36" s="2" t="s">
        <v>38</v>
      </c>
      <c r="F36" s="3"/>
      <c r="G36" s="2" t="s">
        <v>53</v>
      </c>
      <c r="H36" s="3"/>
      <c r="I36" s="3"/>
      <c r="J36" s="3" t="str">
        <f>IF(LEN(TRIM(F36&amp;""))=0,"未回答",IF(OR(TRIM(F36&amp;"")="未定",TRIM(F36&amp;"")="要確認",TRIM(F36&amp;"")="TBD",TRIM(F36&amp;"")="不明",TRIM(F36&amp;"")="未確認"),"未確定",IF(OR(TRIM(F36&amp;"")="対象外",TRIM(F36&amp;"")="適用なし"),"対象外・要確認","回答あり")))</f>
        <v>未回答</v>
      </c>
    </row>
    <row r="37" spans="1:9" ht="30">
      <c r="A37" s="2" t="inlineStr">
        <is>
          <t>Q-033</t>
        </is>
      </c>
      <c r="B37" s="2" t="s">
        <v>46</v>
      </c>
      <c r="C37" s="2" t="s">
        <v>134</v>
      </c>
      <c r="D37" s="2" t="s">
        <v>135</v>
      </c>
      <c r="E37" s="2" t="s">
        <v>38</v>
      </c>
      <c r="F37" s="3"/>
      <c r="G37" s="2" t="s">
        <v>39</v>
      </c>
      <c r="H37" s="3"/>
      <c r="I37" s="3"/>
      <c r="J37" s="3" t="str">
        <f>IF(LEN(TRIM(F37&amp;""))=0,"未回答",IF(OR(TRIM(F37&amp;"")="未定",TRIM(F37&amp;"")="要確認",TRIM(F37&amp;"")="TBD",TRIM(F37&amp;"")="不明",TRIM(F37&amp;"")="未確認"),"未確定",IF(OR(TRIM(F37&amp;"")="対象外",TRIM(F37&amp;"")="適用なし"),"対象外・要確認","回答あり")))</f>
        <v>未回答</v>
      </c>
    </row>
    <row r="38" spans="1:9">
      <c r="A38" s="2" t="inlineStr">
        <is>
          <t>Q-034</t>
        </is>
      </c>
      <c r="B38" s="2" t="s">
        <v>46</v>
      </c>
      <c r="C38" s="2" t="s">
        <v>137</v>
      </c>
      <c r="D38" s="2" t="s">
        <v>138</v>
      </c>
      <c r="E38" s="2" t="s">
        <v>6</v>
      </c>
      <c r="F38" s="3"/>
      <c r="G38" s="2" t="s">
        <v>139</v>
      </c>
      <c r="H38" s="3"/>
      <c r="I38" s="3"/>
      <c r="J38" s="3" t="str">
        <f>IF(LEN(TRIM(F38&amp;""))=0,"未回答",IF(OR(TRIM(F38&amp;"")="未定",TRIM(F38&amp;"")="要確認",TRIM(F38&amp;"")="TBD",TRIM(F38&amp;"")="不明",TRIM(F38&amp;"")="未確認"),"未確定",IF(OR(TRIM(F38&amp;"")="対象外",TRIM(F38&amp;"")="適用なし"),"対象外・要確認","回答あり")))</f>
        <v>未回答</v>
      </c>
    </row>
    <row r="39" spans="1:9">
      <c r="A39" s="2" t="inlineStr">
        <is>
          <t>Q-035</t>
        </is>
      </c>
      <c r="B39" s="2" t="s">
        <v>46</v>
      </c>
      <c r="C39" s="2" t="s">
        <v>141</v>
      </c>
      <c r="D39" s="2" t="s">
        <v>142</v>
      </c>
      <c r="E39" s="2" t="s">
        <v>6</v>
      </c>
      <c r="F39" s="3"/>
      <c r="G39" s="2" t="s">
        <v>143</v>
      </c>
      <c r="H39" s="3"/>
      <c r="I39" s="3"/>
      <c r="J39" s="3" t="str">
        <f>IF(LEN(TRIM(F39&amp;""))=0,"未回答",IF(OR(TRIM(F39&amp;"")="未定",TRIM(F39&amp;"")="要確認",TRIM(F39&amp;"")="TBD",TRIM(F39&amp;"")="不明",TRIM(F39&amp;"")="未確認"),"未確定",IF(OR(TRIM(F39&amp;"")="対象外",TRIM(F39&amp;"")="適用なし"),"対象外・要確認","回答あり")))</f>
        <v>未回答</v>
      </c>
    </row>
    <row r="40" spans="1:9">
      <c r="A40" s="2" t="inlineStr">
        <is>
          <t>Q-036</t>
        </is>
      </c>
      <c r="B40" s="2" t="s">
        <v>46</v>
      </c>
      <c r="C40" s="2" t="s">
        <v>145</v>
      </c>
      <c r="D40" s="2" t="s">
        <v>146</v>
      </c>
      <c r="E40" s="2" t="s">
        <v>38</v>
      </c>
      <c r="F40" s="3"/>
      <c r="G40" s="2" t="s">
        <v>53</v>
      </c>
      <c r="H40" s="3"/>
      <c r="I40" s="3"/>
      <c r="J40" s="3" t="str">
        <f>IF(LEN(TRIM(F40&amp;""))=0,"未回答",IF(OR(TRIM(F40&amp;"")="未定",TRIM(F40&amp;"")="要確認",TRIM(F40&amp;"")="TBD",TRIM(F40&amp;"")="不明",TRIM(F40&amp;"")="未確認"),"未確定",IF(OR(TRIM(F40&amp;"")="対象外",TRIM(F40&amp;"")="適用なし"),"対象外・要確認","回答あり")))</f>
        <v>未回答</v>
      </c>
    </row>
    <row r="41" spans="1:9" ht="30">
      <c r="A41" s="2" t="inlineStr">
        <is>
          <t>Q-037</t>
        </is>
      </c>
      <c r="B41" s="2" t="s">
        <v>62</v>
      </c>
      <c r="C41" s="2" t="s">
        <v>148</v>
      </c>
      <c r="D41" s="2" t="s">
        <v>149</v>
      </c>
      <c r="E41" s="2" t="s">
        <v>6</v>
      </c>
      <c r="F41" s="3"/>
      <c r="G41" s="2" t="s">
        <v>30</v>
      </c>
      <c r="H41" s="3"/>
      <c r="I41" s="3"/>
      <c r="J41" s="3" t="str">
        <f>IF(LEN(TRIM(F41&amp;""))=0,"未回答",IF(OR(TRIM(F41&amp;"")="未定",TRIM(F41&amp;"")="要確認",TRIM(F41&amp;"")="TBD",TRIM(F41&amp;"")="不明",TRIM(F41&amp;"")="未確認"),"未確定",IF(OR(TRIM(F41&amp;"")="対象外",TRIM(F41&amp;"")="適用なし"),"対象外・要確認","回答あり")))</f>
        <v>未回答</v>
      </c>
    </row>
    <row r="42" spans="1:9" ht="30">
      <c r="A42" s="2" t="inlineStr">
        <is>
          <t>Q-038</t>
        </is>
      </c>
      <c r="B42" s="2" t="s">
        <v>62</v>
      </c>
      <c r="C42" s="2" t="s">
        <v>151</v>
      </c>
      <c r="D42" s="2" t="s">
        <v>152</v>
      </c>
      <c r="E42" s="2" t="s">
        <v>38</v>
      </c>
      <c r="F42" s="3"/>
      <c r="G42" s="2" t="s">
        <v>153</v>
      </c>
      <c r="H42" s="3"/>
      <c r="I42" s="3"/>
      <c r="J42" s="3" t="str">
        <f>IF(LEN(TRIM(F42&amp;""))=0,"未回答",IF(OR(TRIM(F42&amp;"")="未定",TRIM(F42&amp;"")="要確認",TRIM(F42&amp;"")="TBD",TRIM(F42&amp;"")="不明",TRIM(F42&amp;"")="未確認"),"未確定",IF(OR(TRIM(F42&amp;"")="対象外",TRIM(F42&amp;"")="適用なし"),"対象外・要確認","回答あり")))</f>
        <v>未回答</v>
      </c>
    </row>
    <row r="43" spans="1:9" ht="30">
      <c r="A43" s="2" t="inlineStr">
        <is>
          <t>Q-039</t>
        </is>
      </c>
      <c r="B43" s="2" t="s">
        <v>62</v>
      </c>
      <c r="C43" s="2" t="s">
        <v>155</v>
      </c>
      <c r="D43" s="2" t="s">
        <v>156</v>
      </c>
      <c r="E43" s="2" t="s">
        <v>38</v>
      </c>
      <c r="F43" s="3"/>
      <c r="G43" s="2" t="s">
        <v>65</v>
      </c>
      <c r="H43" s="3"/>
      <c r="I43" s="3"/>
      <c r="J43" s="3" t="str">
        <f>IF(LEN(TRIM(F43&amp;""))=0,"未回答",IF(OR(TRIM(F43&amp;"")="未定",TRIM(F43&amp;"")="要確認",TRIM(F43&amp;"")="TBD",TRIM(F43&amp;"")="不明",TRIM(F43&amp;"")="未確認"),"未確定",IF(OR(TRIM(F43&amp;"")="対象外",TRIM(F43&amp;"")="適用なし"),"対象外・要確認","回答あり")))</f>
        <v>未回答</v>
      </c>
    </row>
    <row r="44" spans="1:9">
      <c r="A44" s="2" t="inlineStr">
        <is>
          <t>Q-040</t>
        </is>
      </c>
      <c r="B44" s="2" t="s">
        <v>62</v>
      </c>
      <c r="C44" s="2" t="s">
        <v>158</v>
      </c>
      <c r="D44" s="2" t="s">
        <v>159</v>
      </c>
      <c r="E44" s="2" t="s">
        <v>38</v>
      </c>
      <c r="F44" s="3"/>
      <c r="G44" s="2" t="s">
        <v>160</v>
      </c>
      <c r="H44" s="3"/>
      <c r="I44" s="3"/>
      <c r="J44" s="3" t="str">
        <f>IF(LEN(TRIM(F44&amp;""))=0,"未回答",IF(OR(TRIM(F44&amp;"")="未定",TRIM(F44&amp;"")="要確認",TRIM(F44&amp;"")="TBD",TRIM(F44&amp;"")="不明",TRIM(F44&amp;"")="未確認"),"未確定",IF(OR(TRIM(F44&amp;"")="対象外",TRIM(F44&amp;"")="適用なし"),"対象外・要確認","回答あり")))</f>
        <v>未回答</v>
      </c>
    </row>
    <row r="45" spans="1:9" ht="30">
      <c r="A45" s="2" t="inlineStr">
        <is>
          <t>Q-041</t>
        </is>
      </c>
      <c r="B45" s="2" t="s">
        <v>62</v>
      </c>
      <c r="C45" s="2" t="s">
        <v>162</v>
      </c>
      <c r="D45" s="2" t="s">
        <v>163</v>
      </c>
      <c r="E45" s="2" t="s">
        <v>38</v>
      </c>
      <c r="F45" s="3"/>
      <c r="G45" s="2" t="s">
        <v>164</v>
      </c>
      <c r="H45" s="3"/>
      <c r="I45" s="3"/>
      <c r="J45" s="3" t="str">
        <f>IF(LEN(TRIM(F45&amp;""))=0,"未回答",IF(OR(TRIM(F45&amp;"")="未定",TRIM(F45&amp;"")="要確認",TRIM(F45&amp;"")="TBD",TRIM(F45&amp;"")="不明",TRIM(F45&amp;"")="未確認"),"未確定",IF(OR(TRIM(F45&amp;"")="対象外",TRIM(F45&amp;"")="適用なし"),"対象外・要確認","回答あり")))</f>
        <v>未回答</v>
      </c>
    </row>
    <row r="46" spans="1:9" ht="30">
      <c r="A46" s="2" t="inlineStr">
        <is>
          <t>Q-042</t>
        </is>
      </c>
      <c r="B46" s="2" t="s">
        <v>62</v>
      </c>
      <c r="C46" s="2" t="s">
        <v>166</v>
      </c>
      <c r="D46" s="2" t="s">
        <v>167</v>
      </c>
      <c r="E46" s="2" t="s">
        <v>38</v>
      </c>
      <c r="F46" s="3"/>
      <c r="G46" s="2" t="s">
        <v>39</v>
      </c>
      <c r="H46" s="3"/>
      <c r="I46" s="3"/>
      <c r="J46" s="3" t="str">
        <f>IF(LEN(TRIM(F46&amp;""))=0,"未回答",IF(OR(TRIM(F46&amp;"")="未定",TRIM(F46&amp;"")="要確認",TRIM(F46&amp;"")="TBD",TRIM(F46&amp;"")="不明",TRIM(F46&amp;"")="未確認"),"未確定",IF(OR(TRIM(F46&amp;"")="対象外",TRIM(F46&amp;"")="適用なし"),"対象外・要確認","回答あり")))</f>
        <v>未回答</v>
      </c>
    </row>
    <row r="47" spans="1:9" ht="30">
      <c r="A47" s="2" t="inlineStr">
        <is>
          <t>Q-043</t>
        </is>
      </c>
      <c r="B47" s="2" t="s">
        <v>62</v>
      </c>
      <c r="C47" s="2" t="s">
        <v>169</v>
      </c>
      <c r="D47" s="2" t="s">
        <v>170</v>
      </c>
      <c r="E47" s="2" t="s">
        <v>6</v>
      </c>
      <c r="F47" s="3"/>
      <c r="G47" s="2" t="s">
        <v>171</v>
      </c>
      <c r="H47" s="3"/>
      <c r="I47" s="3"/>
      <c r="J47" s="3" t="str">
        <f>IF(LEN(TRIM(F47&amp;""))=0,"未回答",IF(OR(TRIM(F47&amp;"")="未定",TRIM(F47&amp;"")="要確認",TRIM(F47&amp;"")="TBD",TRIM(F47&amp;"")="不明",TRIM(F47&amp;"")="未確認"),"未確定",IF(OR(TRIM(F47&amp;"")="対象外",TRIM(F47&amp;"")="適用なし"),"対象外・要確認","回答あり")))</f>
        <v>未回答</v>
      </c>
    </row>
    <row r="48" spans="1:9" ht="30">
      <c r="A48" s="2" t="inlineStr">
        <is>
          <t>Q-044</t>
        </is>
      </c>
      <c r="B48" s="2" t="s">
        <v>62</v>
      </c>
      <c r="C48" s="2" t="s">
        <v>173</v>
      </c>
      <c r="D48" s="2" t="s">
        <v>174</v>
      </c>
      <c r="E48" s="2" t="s">
        <v>38</v>
      </c>
      <c r="F48" s="3"/>
      <c r="G48" s="2" t="s">
        <v>65</v>
      </c>
      <c r="H48" s="3"/>
      <c r="I48" s="3"/>
      <c r="J48" s="3" t="str">
        <f>IF(LEN(TRIM(F48&amp;""))=0,"未回答",IF(OR(TRIM(F48&amp;"")="未定",TRIM(F48&amp;"")="要確認",TRIM(F48&amp;"")="TBD",TRIM(F48&amp;"")="不明",TRIM(F48&amp;"")="未確認"),"未確定",IF(OR(TRIM(F48&amp;"")="対象外",TRIM(F48&amp;"")="適用なし"),"対象外・要確認","回答あり")))</f>
        <v>未回答</v>
      </c>
    </row>
    <row r="49" spans="1:9">
      <c r="A49" s="2" t="inlineStr">
        <is>
          <t>Q-045</t>
        </is>
      </c>
      <c r="B49" s="2" t="s">
        <v>176</v>
      </c>
      <c r="C49" s="2" t="s">
        <v>177</v>
      </c>
      <c r="D49" s="2" t="s">
        <v>178</v>
      </c>
      <c r="E49" s="2" t="s">
        <v>6</v>
      </c>
      <c r="F49" s="3"/>
      <c r="G49" s="2" t="s">
        <v>179</v>
      </c>
      <c r="H49" s="3"/>
      <c r="I49" s="3"/>
      <c r="J49" s="3" t="str">
        <f>IF(LEN(TRIM(F49&amp;""))=0,"未回答",IF(OR(TRIM(F49&amp;"")="未定",TRIM(F49&amp;"")="要確認",TRIM(F49&amp;"")="TBD",TRIM(F49&amp;"")="不明",TRIM(F49&amp;"")="未確認"),"未確定",IF(OR(TRIM(F49&amp;"")="対象外",TRIM(F49&amp;"")="適用なし"),"対象外・要確認","回答あり")))</f>
        <v>未回答</v>
      </c>
    </row>
    <row r="50" spans="1:9">
      <c r="A50" s="2" t="inlineStr">
        <is>
          <t>Q-046</t>
        </is>
      </c>
      <c r="B50" s="2" t="s">
        <v>176</v>
      </c>
      <c r="C50" s="2" t="s">
        <v>181</v>
      </c>
      <c r="D50" s="2" t="s">
        <v>182</v>
      </c>
      <c r="E50" s="2" t="s">
        <v>6</v>
      </c>
      <c r="F50" s="3"/>
      <c r="G50" s="2" t="s">
        <v>183</v>
      </c>
      <c r="H50" s="3"/>
      <c r="I50" s="3"/>
      <c r="J50" s="3" t="str">
        <f>IF(LEN(TRIM(F50&amp;""))=0,"未回答",IF(OR(TRIM(F50&amp;"")="未定",TRIM(F50&amp;"")="要確認",TRIM(F50&amp;"")="TBD",TRIM(F50&amp;"")="不明",TRIM(F50&amp;"")="未確認"),"未確定",IF(OR(TRIM(F50&amp;"")="対象外",TRIM(F50&amp;"")="適用なし"),"対象外・要確認","回答あり")))</f>
        <v>未回答</v>
      </c>
    </row>
    <row r="51" spans="1:9">
      <c r="A51" s="2" t="inlineStr">
        <is>
          <t>Q-047</t>
        </is>
      </c>
      <c r="B51" s="2" t="s">
        <v>176</v>
      </c>
      <c r="C51" s="2" t="s">
        <v>185</v>
      </c>
      <c r="D51" s="2" t="s">
        <v>186</v>
      </c>
      <c r="E51" s="2" t="s">
        <v>6</v>
      </c>
      <c r="F51" s="3"/>
      <c r="G51" s="2" t="s">
        <v>139</v>
      </c>
      <c r="H51" s="3"/>
      <c r="I51" s="3"/>
      <c r="J51" s="3" t="str">
        <f>IF(LEN(TRIM(F51&amp;""))=0,"未回答",IF(OR(TRIM(F51&amp;"")="未定",TRIM(F51&amp;"")="要確認",TRIM(F51&amp;"")="TBD",TRIM(F51&amp;"")="不明",TRIM(F51&amp;"")="未確認"),"未確定",IF(OR(TRIM(F51&amp;"")="対象外",TRIM(F51&amp;"")="適用なし"),"対象外・要確認","回答あり")))</f>
        <v>未回答</v>
      </c>
    </row>
    <row r="52" spans="1:9">
      <c r="A52" s="2" t="inlineStr">
        <is>
          <t>Q-048</t>
        </is>
      </c>
      <c r="B52" s="2" t="s">
        <v>176</v>
      </c>
      <c r="C52" s="2" t="s">
        <v>188</v>
      </c>
      <c r="D52" s="2" t="s">
        <v>189</v>
      </c>
      <c r="E52" s="2" t="s">
        <v>6</v>
      </c>
      <c r="F52" s="3"/>
      <c r="G52" s="2" t="s">
        <v>139</v>
      </c>
      <c r="H52" s="3"/>
      <c r="I52" s="3"/>
      <c r="J52" s="3" t="str">
        <f>IF(LEN(TRIM(F52&amp;""))=0,"未回答",IF(OR(TRIM(F52&amp;"")="未定",TRIM(F52&amp;"")="要確認",TRIM(F52&amp;"")="TBD",TRIM(F52&amp;"")="不明",TRIM(F52&amp;"")="未確認"),"未確定",IF(OR(TRIM(F52&amp;"")="対象外",TRIM(F52&amp;"")="適用なし"),"対象外・要確認","回答あり")))</f>
        <v>未回答</v>
      </c>
    </row>
    <row r="53" spans="1:9" ht="30">
      <c r="A53" s="2" t="inlineStr">
        <is>
          <t>Q-049</t>
        </is>
      </c>
      <c r="B53" s="2" t="s">
        <v>176</v>
      </c>
      <c r="C53" s="2" t="s">
        <v>191</v>
      </c>
      <c r="D53" s="2" t="s">
        <v>192</v>
      </c>
      <c r="E53" s="2" t="s">
        <v>6</v>
      </c>
      <c r="F53" s="3"/>
      <c r="G53" s="2" t="s">
        <v>193</v>
      </c>
      <c r="H53" s="3"/>
      <c r="I53" s="3"/>
      <c r="J53" s="3" t="str">
        <f>IF(LEN(TRIM(F53&amp;""))=0,"未回答",IF(OR(TRIM(F53&amp;"")="未定",TRIM(F53&amp;"")="要確認",TRIM(F53&amp;"")="TBD",TRIM(F53&amp;"")="不明",TRIM(F53&amp;"")="未確認"),"未確定",IF(OR(TRIM(F53&amp;"")="対象外",TRIM(F53&amp;"")="適用なし"),"対象外・要確認","回答あり")))</f>
        <v>未回答</v>
      </c>
    </row>
    <row r="54" spans="1:9" ht="30">
      <c r="A54" s="2" t="inlineStr">
        <is>
          <t>Q-050</t>
        </is>
      </c>
      <c r="B54" s="2" t="s">
        <v>176</v>
      </c>
      <c r="C54" s="2" t="s">
        <v>195</v>
      </c>
      <c r="D54" s="2" t="s">
        <v>196</v>
      </c>
      <c r="E54" s="2" t="s">
        <v>38</v>
      </c>
      <c r="F54" s="3"/>
      <c r="G54" s="2" t="s">
        <v>39</v>
      </c>
      <c r="H54" s="3"/>
      <c r="I54" s="3"/>
      <c r="J54" s="3" t="str">
        <f>IF(LEN(TRIM(F54&amp;""))=0,"未回答",IF(OR(TRIM(F54&amp;"")="未定",TRIM(F54&amp;"")="要確認",TRIM(F54&amp;"")="TBD",TRIM(F54&amp;"")="不明",TRIM(F54&amp;"")="未確認"),"未確定",IF(OR(TRIM(F54&amp;"")="対象外",TRIM(F54&amp;"")="適用なし"),"対象外・要確認","回答あり")))</f>
        <v>未回答</v>
      </c>
    </row>
    <row r="55" spans="1:9" ht="30">
      <c r="A55" s="2" t="inlineStr">
        <is>
          <t>Q-051</t>
        </is>
      </c>
      <c r="B55" s="2" t="s">
        <v>83</v>
      </c>
      <c r="C55" s="2" t="s">
        <v>198</v>
      </c>
      <c r="D55" s="2" t="s">
        <v>199</v>
      </c>
      <c r="E55" s="2" t="s">
        <v>6</v>
      </c>
      <c r="F55" s="3"/>
      <c r="G55" s="2" t="s">
        <v>200</v>
      </c>
      <c r="H55" s="3"/>
      <c r="I55" s="3"/>
      <c r="J55" s="3" t="str">
        <f>IF(LEN(TRIM(F55&amp;""))=0,"未回答",IF(OR(TRIM(F55&amp;"")="未定",TRIM(F55&amp;"")="要確認",TRIM(F55&amp;"")="TBD",TRIM(F55&amp;"")="不明",TRIM(F55&amp;"")="未確認"),"未確定",IF(OR(TRIM(F55&amp;"")="対象外",TRIM(F55&amp;"")="適用なし"),"対象外・要確認","回答あり")))</f>
        <v>未回答</v>
      </c>
    </row>
    <row r="56" spans="1:9" ht="30">
      <c r="A56" s="2" t="inlineStr">
        <is>
          <t>Q-052</t>
        </is>
      </c>
      <c r="B56" s="2" t="s">
        <v>83</v>
      </c>
      <c r="C56" s="2" t="s">
        <v>202</v>
      </c>
      <c r="D56" s="2" t="s">
        <v>203</v>
      </c>
      <c r="E56" s="2" t="s">
        <v>38</v>
      </c>
      <c r="F56" s="3"/>
      <c r="G56" s="2" t="s">
        <v>204</v>
      </c>
      <c r="H56" s="3"/>
      <c r="I56" s="3"/>
      <c r="J56" s="3" t="str">
        <f>IF(LEN(TRIM(F56&amp;""))=0,"未回答",IF(OR(TRIM(F56&amp;"")="未定",TRIM(F56&amp;"")="要確認",TRIM(F56&amp;"")="TBD",TRIM(F56&amp;"")="不明",TRIM(F56&amp;"")="未確認"),"未確定",IF(OR(TRIM(F56&amp;"")="対象外",TRIM(F56&amp;"")="適用なし"),"対象外・要確認","回答あり")))</f>
        <v>未回答</v>
      </c>
    </row>
    <row r="57" spans="1:9">
      <c r="A57" s="2" t="inlineStr">
        <is>
          <t>Q-053</t>
        </is>
      </c>
      <c r="B57" s="2" t="s">
        <v>83</v>
      </c>
      <c r="C57" s="2" t="s">
        <v>206</v>
      </c>
      <c r="D57" s="2" t="s">
        <v>207</v>
      </c>
      <c r="E57" s="2" t="s">
        <v>38</v>
      </c>
      <c r="F57" s="3"/>
      <c r="G57" s="2" t="s">
        <v>208</v>
      </c>
      <c r="H57" s="3"/>
      <c r="I57" s="3"/>
      <c r="J57" s="3" t="str">
        <f>IF(LEN(TRIM(F57&amp;""))=0,"未回答",IF(OR(TRIM(F57&amp;"")="未定",TRIM(F57&amp;"")="要確認",TRIM(F57&amp;"")="TBD",TRIM(F57&amp;"")="不明",TRIM(F57&amp;"")="未確認"),"未確定",IF(OR(TRIM(F57&amp;"")="対象外",TRIM(F57&amp;"")="適用なし"),"対象外・要確認","回答あり")))</f>
        <v>未回答</v>
      </c>
    </row>
    <row r="58" spans="1:9">
      <c r="A58" s="2" t="inlineStr">
        <is>
          <t>Q-054</t>
        </is>
      </c>
      <c r="B58" s="2" t="s">
        <v>83</v>
      </c>
      <c r="C58" s="2" t="s">
        <v>210</v>
      </c>
      <c r="D58" s="2" t="s">
        <v>211</v>
      </c>
      <c r="E58" s="2" t="s">
        <v>6</v>
      </c>
      <c r="F58" s="3"/>
      <c r="G58" s="2" t="s">
        <v>212</v>
      </c>
      <c r="H58" s="3"/>
      <c r="I58" s="3"/>
      <c r="J58" s="3" t="str">
        <f>IF(LEN(TRIM(F58&amp;""))=0,"未回答",IF(OR(TRIM(F58&amp;"")="未定",TRIM(F58&amp;"")="要確認",TRIM(F58&amp;"")="TBD",TRIM(F58&amp;"")="不明",TRIM(F58&amp;"")="未確認"),"未確定",IF(OR(TRIM(F58&amp;"")="対象外",TRIM(F58&amp;"")="適用なし"),"対象外・要確認","回答あり")))</f>
        <v>未回答</v>
      </c>
    </row>
    <row r="59" spans="1:9">
      <c r="A59" s="2" t="inlineStr">
        <is>
          <t>Q-055</t>
        </is>
      </c>
      <c r="B59" s="2" t="s">
        <v>83</v>
      </c>
      <c r="C59" s="2" t="s">
        <v>214</v>
      </c>
      <c r="D59" s="2" t="s">
        <v>215</v>
      </c>
      <c r="E59" s="2" t="s">
        <v>6</v>
      </c>
      <c r="F59" s="3"/>
      <c r="G59" s="2" t="s">
        <v>212</v>
      </c>
      <c r="H59" s="3"/>
      <c r="I59" s="3"/>
      <c r="J59" s="3" t="str">
        <f>IF(LEN(TRIM(F59&amp;""))=0,"未回答",IF(OR(TRIM(F59&amp;"")="未定",TRIM(F59&amp;"")="要確認",TRIM(F59&amp;"")="TBD",TRIM(F59&amp;"")="不明",TRIM(F59&amp;"")="未確認"),"未確定",IF(OR(TRIM(F59&amp;"")="対象外",TRIM(F59&amp;"")="適用なし"),"対象外・要確認","回答あり")))</f>
        <v>未回答</v>
      </c>
    </row>
    <row r="60" spans="1:9">
      <c r="A60" s="2" t="inlineStr">
        <is>
          <t>Q-056</t>
        </is>
      </c>
      <c r="B60" s="2" t="s">
        <v>83</v>
      </c>
      <c r="C60" s="2" t="s">
        <v>217</v>
      </c>
      <c r="D60" s="2" t="s">
        <v>218</v>
      </c>
      <c r="E60" s="2" t="s">
        <v>6</v>
      </c>
      <c r="F60" s="3"/>
      <c r="G60" s="2" t="s">
        <v>212</v>
      </c>
      <c r="H60" s="3"/>
      <c r="I60" s="3"/>
      <c r="J60" s="3" t="str">
        <f>IF(LEN(TRIM(F60&amp;""))=0,"未回答",IF(OR(TRIM(F60&amp;"")="未定",TRIM(F60&amp;"")="要確認",TRIM(F60&amp;"")="TBD",TRIM(F60&amp;"")="不明",TRIM(F60&amp;"")="未確認"),"未確定",IF(OR(TRIM(F60&amp;"")="対象外",TRIM(F60&amp;"")="適用なし"),"対象外・要確認","回答あり")))</f>
        <v>未回答</v>
      </c>
    </row>
    <row r="61" spans="1:9" ht="30">
      <c r="A61" s="2" t="inlineStr">
        <is>
          <t>Q-057</t>
        </is>
      </c>
      <c r="B61" s="2" t="s">
        <v>83</v>
      </c>
      <c r="C61" s="2" t="s">
        <v>220</v>
      </c>
      <c r="D61" s="2" t="s">
        <v>221</v>
      </c>
      <c r="E61" s="2" t="s">
        <v>6</v>
      </c>
      <c r="F61" s="3"/>
      <c r="G61" s="2" t="s">
        <v>222</v>
      </c>
      <c r="H61" s="3"/>
      <c r="I61" s="3"/>
      <c r="J61" s="3" t="str">
        <f>IF(LEN(TRIM(F61&amp;""))=0,"未回答",IF(OR(TRIM(F61&amp;"")="未定",TRIM(F61&amp;"")="要確認",TRIM(F61&amp;"")="TBD",TRIM(F61&amp;"")="不明",TRIM(F61&amp;"")="未確認"),"未確定",IF(OR(TRIM(F61&amp;"")="対象外",TRIM(F61&amp;"")="適用なし"),"対象外・要確認","回答あり")))</f>
        <v>未回答</v>
      </c>
    </row>
    <row r="62" spans="1:9" ht="30">
      <c r="A62" s="2" t="inlineStr">
        <is>
          <t>Q-058</t>
        </is>
      </c>
      <c r="B62" s="2" t="s">
        <v>83</v>
      </c>
      <c r="C62" s="2" t="s">
        <v>224</v>
      </c>
      <c r="D62" s="2" t="s">
        <v>225</v>
      </c>
      <c r="E62" s="2" t="s">
        <v>38</v>
      </c>
      <c r="F62" s="3"/>
      <c r="G62" s="2" t="s">
        <v>226</v>
      </c>
      <c r="H62" s="3"/>
      <c r="I62" s="3"/>
      <c r="J62" s="3" t="str">
        <f>IF(LEN(TRIM(F62&amp;""))=0,"未回答",IF(OR(TRIM(F62&amp;"")="未定",TRIM(F62&amp;"")="要確認",TRIM(F62&amp;"")="TBD",TRIM(F62&amp;"")="不明",TRIM(F62&amp;"")="未確認"),"未確定",IF(OR(TRIM(F62&amp;"")="対象外",TRIM(F62&amp;"")="適用なし"),"対象外・要確認","回答あり")))</f>
        <v>未回答</v>
      </c>
    </row>
    <row r="63" spans="1:9" ht="30">
      <c r="A63" s="2" t="inlineStr">
        <is>
          <t>Q-059</t>
        </is>
      </c>
      <c r="B63" s="2" t="s">
        <v>83</v>
      </c>
      <c r="C63" s="2" t="s">
        <v>228</v>
      </c>
      <c r="D63" s="2" t="s">
        <v>229</v>
      </c>
      <c r="E63" s="2" t="s">
        <v>6</v>
      </c>
      <c r="F63" s="3"/>
      <c r="G63" s="2" t="s">
        <v>22</v>
      </c>
      <c r="H63" s="3"/>
      <c r="I63" s="3"/>
      <c r="J63" s="3" t="str">
        <f>IF(LEN(TRIM(F63&amp;""))=0,"未回答",IF(OR(TRIM(F63&amp;"")="未定",TRIM(F63&amp;"")="要確認",TRIM(F63&amp;"")="TBD",TRIM(F63&amp;"")="不明",TRIM(F63&amp;"")="未確認"),"未確定",IF(OR(TRIM(F63&amp;"")="対象外",TRIM(F63&amp;"")="適用なし"),"対象外・要確認","回答あり")))</f>
        <v>未回答</v>
      </c>
    </row>
    <row r="64" spans="1:9">
      <c r="A64" s="2" t="inlineStr">
        <is>
          <t>Q-060</t>
        </is>
      </c>
      <c r="B64" s="2" t="s">
        <v>231</v>
      </c>
      <c r="C64" s="2" t="s">
        <v>232</v>
      </c>
      <c r="D64" s="2" t="s">
        <v>233</v>
      </c>
      <c r="E64" s="2" t="s">
        <v>38</v>
      </c>
      <c r="F64" s="3"/>
      <c r="G64" s="2" t="s">
        <v>39</v>
      </c>
      <c r="H64" s="3"/>
      <c r="I64" s="3"/>
      <c r="J64" s="3" t="str">
        <f>IF(LEN(TRIM(F64&amp;""))=0,"未回答",IF(OR(TRIM(F64&amp;"")="未定",TRIM(F64&amp;"")="要確認",TRIM(F64&amp;"")="TBD",TRIM(F64&amp;"")="不明",TRIM(F64&amp;"")="未確認"),"未確定",IF(OR(TRIM(F64&amp;"")="対象外",TRIM(F64&amp;"")="適用なし"),"対象外・要確認","回答あり")))</f>
        <v>未回答</v>
      </c>
    </row>
    <row r="65" spans="1:9">
      <c r="A65" s="2" t="inlineStr">
        <is>
          <t>Q-061</t>
        </is>
      </c>
      <c r="B65" s="2" t="s">
        <v>231</v>
      </c>
      <c r="C65" s="2" t="s">
        <v>235</v>
      </c>
      <c r="D65" s="2" t="s">
        <v>236</v>
      </c>
      <c r="E65" s="2" t="s">
        <v>38</v>
      </c>
      <c r="F65" s="3"/>
      <c r="G65" s="2" t="s">
        <v>53</v>
      </c>
      <c r="H65" s="3"/>
      <c r="I65" s="3"/>
      <c r="J65" s="3" t="str">
        <f>IF(LEN(TRIM(F65&amp;""))=0,"未回答",IF(OR(TRIM(F65&amp;"")="未定",TRIM(F65&amp;"")="要確認",TRIM(F65&amp;"")="TBD",TRIM(F65&amp;"")="不明",TRIM(F65&amp;"")="未確認"),"未確定",IF(OR(TRIM(F65&amp;"")="対象外",TRIM(F65&amp;"")="適用なし"),"対象外・要確認","回答あり")))</f>
        <v>未回答</v>
      </c>
    </row>
    <row r="66" spans="1:9" ht="30">
      <c r="A66" s="2" t="inlineStr">
        <is>
          <t>Q-062</t>
        </is>
      </c>
      <c r="B66" s="2" t="s">
        <v>231</v>
      </c>
      <c r="C66" s="2" t="s">
        <v>238</v>
      </c>
      <c r="D66" s="2" t="s">
        <v>239</v>
      </c>
      <c r="E66" s="2" t="s">
        <v>38</v>
      </c>
      <c r="F66" s="3"/>
      <c r="G66" s="2" t="s">
        <v>39</v>
      </c>
      <c r="H66" s="3"/>
      <c r="I66" s="3"/>
      <c r="J66" s="3" t="str">
        <f>IF(LEN(TRIM(F66&amp;""))=0,"未回答",IF(OR(TRIM(F66&amp;"")="未定",TRIM(F66&amp;"")="要確認",TRIM(F66&amp;"")="TBD",TRIM(F66&amp;"")="不明",TRIM(F66&amp;"")="未確認"),"未確定",IF(OR(TRIM(F66&amp;"")="対象外",TRIM(F66&amp;"")="適用なし"),"対象外・要確認","回答あり")))</f>
        <v>未回答</v>
      </c>
    </row>
    <row r="67" spans="1:9" ht="30">
      <c r="A67" s="2" t="inlineStr">
        <is>
          <t>Q-063</t>
        </is>
      </c>
      <c r="B67" s="2" t="s">
        <v>231</v>
      </c>
      <c r="C67" s="2" t="s">
        <v>241</v>
      </c>
      <c r="D67" s="2" t="s">
        <v>242</v>
      </c>
      <c r="E67" s="2" t="s">
        <v>38</v>
      </c>
      <c r="F67" s="3"/>
      <c r="G67" s="2" t="s">
        <v>30</v>
      </c>
      <c r="H67" s="3"/>
      <c r="I67" s="3"/>
      <c r="J67" s="3" t="str">
        <f>IF(LEN(TRIM(F67&amp;""))=0,"未回答",IF(OR(TRIM(F67&amp;"")="未定",TRIM(F67&amp;"")="要確認",TRIM(F67&amp;"")="TBD",TRIM(F67&amp;"")="不明",TRIM(F67&amp;"")="未確認"),"未確定",IF(OR(TRIM(F67&amp;"")="対象外",TRIM(F67&amp;"")="適用なし"),"対象外・要確認","回答あり")))</f>
        <v>未回答</v>
      </c>
    </row>
    <row r="68" spans="1:9" ht="30">
      <c r="A68" s="2" t="inlineStr">
        <is>
          <t>Q-064</t>
        </is>
      </c>
      <c r="B68" s="2" t="s">
        <v>231</v>
      </c>
      <c r="C68" s="2" t="s">
        <v>244</v>
      </c>
      <c r="D68" s="2" t="s">
        <v>245</v>
      </c>
      <c r="E68" s="2" t="s">
        <v>38</v>
      </c>
      <c r="F68" s="3"/>
      <c r="G68" s="2" t="s">
        <v>39</v>
      </c>
      <c r="H68" s="3"/>
      <c r="I68" s="3"/>
      <c r="J68" s="3" t="str">
        <f>IF(LEN(TRIM(F68&amp;""))=0,"未回答",IF(OR(TRIM(F68&amp;"")="未定",TRIM(F68&amp;"")="要確認",TRIM(F68&amp;"")="TBD",TRIM(F68&amp;"")="不明",TRIM(F68&amp;"")="未確認"),"未確定",IF(OR(TRIM(F68&amp;"")="対象外",TRIM(F68&amp;"")="適用なし"),"対象外・要確認","回答あり")))</f>
        <v>未回答</v>
      </c>
    </row>
    <row r="69" spans="1:9" ht="30">
      <c r="A69" s="2" t="inlineStr">
        <is>
          <t>Q-065</t>
        </is>
      </c>
      <c r="B69" s="2" t="s">
        <v>231</v>
      </c>
      <c r="C69" s="2" t="s">
        <v>247</v>
      </c>
      <c r="D69" s="2" t="s">
        <v>248</v>
      </c>
      <c r="E69" s="2" t="s">
        <v>38</v>
      </c>
      <c r="F69" s="3"/>
      <c r="G69" s="2" t="s">
        <v>249</v>
      </c>
      <c r="H69" s="3"/>
      <c r="I69" s="3"/>
      <c r="J69" s="3" t="str">
        <f>IF(LEN(TRIM(F69&amp;""))=0,"未回答",IF(OR(TRIM(F69&amp;"")="未定",TRIM(F69&amp;"")="要確認",TRIM(F69&amp;"")="TBD",TRIM(F69&amp;"")="不明",TRIM(F69&amp;"")="未確認"),"未確定",IF(OR(TRIM(F69&amp;"")="対象外",TRIM(F69&amp;"")="適用なし"),"対象外・要確認","回答あり")))</f>
        <v>未回答</v>
      </c>
    </row>
    <row r="70" spans="1:9" ht="30">
      <c r="A70" s="2" t="inlineStr">
        <is>
          <t>Q-066</t>
        </is>
      </c>
      <c r="B70" s="2" t="s">
        <v>251</v>
      </c>
      <c r="C70" s="2" t="s">
        <v>252</v>
      </c>
      <c r="D70" s="2" t="s">
        <v>253</v>
      </c>
      <c r="E70" s="2" t="s">
        <v>38</v>
      </c>
      <c r="F70" s="3"/>
      <c r="G70" s="2" t="s">
        <v>254</v>
      </c>
      <c r="H70" s="3"/>
      <c r="I70" s="3"/>
      <c r="J70" s="3" t="str">
        <f>IF(LEN(TRIM(F70&amp;""))=0,"未回答",IF(OR(TRIM(F70&amp;"")="未定",TRIM(F70&amp;"")="要確認",TRIM(F70&amp;"")="TBD",TRIM(F70&amp;"")="不明",TRIM(F70&amp;"")="未確認"),"未確定",IF(OR(TRIM(F70&amp;"")="対象外",TRIM(F70&amp;"")="適用なし"),"対象外・要確認","回答あり")))</f>
        <v>未回答</v>
      </c>
    </row>
    <row r="71" spans="1:9">
      <c r="A71" s="2" t="inlineStr">
        <is>
          <t>Q-067</t>
        </is>
      </c>
      <c r="B71" s="2" t="s">
        <v>251</v>
      </c>
      <c r="C71" s="2" t="s">
        <v>256</v>
      </c>
      <c r="D71" s="2" t="s">
        <v>257</v>
      </c>
      <c r="E71" s="2" t="s">
        <v>6</v>
      </c>
      <c r="F71" s="3"/>
      <c r="G71" s="2" t="s">
        <v>22</v>
      </c>
      <c r="H71" s="3"/>
      <c r="I71" s="3"/>
      <c r="J71" s="3" t="str">
        <f>IF(LEN(TRIM(F71&amp;""))=0,"未回答",IF(OR(TRIM(F71&amp;"")="未定",TRIM(F71&amp;"")="要確認",TRIM(F71&amp;"")="TBD",TRIM(F71&amp;"")="不明",TRIM(F71&amp;"")="未確認"),"未確定",IF(OR(TRIM(F71&amp;"")="対象外",TRIM(F71&amp;"")="適用なし"),"対象外・要確認","回答あり")))</f>
        <v>未回答</v>
      </c>
    </row>
    <row r="72" spans="1:9">
      <c r="A72" s="2" t="inlineStr">
        <is>
          <t>Q-068</t>
        </is>
      </c>
      <c r="B72" s="2" t="s">
        <v>251</v>
      </c>
      <c r="C72" s="2" t="s">
        <v>259</v>
      </c>
      <c r="D72" s="2" t="s">
        <v>260</v>
      </c>
      <c r="E72" s="2" t="s">
        <v>6</v>
      </c>
      <c r="F72" s="3"/>
      <c r="G72" s="2" t="s">
        <v>179</v>
      </c>
      <c r="H72" s="3"/>
      <c r="I72" s="3"/>
      <c r="J72" s="3" t="str">
        <f>IF(LEN(TRIM(F72&amp;""))=0,"未回答",IF(OR(TRIM(F72&amp;"")="未定",TRIM(F72&amp;"")="要確認",TRIM(F72&amp;"")="TBD",TRIM(F72&amp;"")="不明",TRIM(F72&amp;"")="未確認"),"未確定",IF(OR(TRIM(F72&amp;"")="対象外",TRIM(F72&amp;"")="適用なし"),"対象外・要確認","回答あり")))</f>
        <v>未回答</v>
      </c>
    </row>
    <row r="73" spans="1:9" ht="30">
      <c r="A73" s="2" t="inlineStr">
        <is>
          <t>Q-069</t>
        </is>
      </c>
      <c r="B73" s="2" t="s">
        <v>251</v>
      </c>
      <c r="C73" s="2" t="s">
        <v>262</v>
      </c>
      <c r="D73" s="2" t="s">
        <v>263</v>
      </c>
      <c r="E73" s="2" t="s">
        <v>6</v>
      </c>
      <c r="F73" s="3"/>
      <c r="G73" s="2" t="s">
        <v>22</v>
      </c>
      <c r="H73" s="3"/>
      <c r="I73" s="3"/>
      <c r="J73" s="3" t="str">
        <f>IF(LEN(TRIM(F73&amp;""))=0,"未回答",IF(OR(TRIM(F73&amp;"")="未定",TRIM(F73&amp;"")="要確認",TRIM(F73&amp;"")="TBD",TRIM(F73&amp;"")="不明",TRIM(F73&amp;"")="未確認"),"未確定",IF(OR(TRIM(F73&amp;"")="対象外",TRIM(F73&amp;"")="適用なし"),"対象外・要確認","回答あり")))</f>
        <v>未回答</v>
      </c>
    </row>
    <row r="74" spans="1:9">
      <c r="A74" s="2" t="inlineStr">
        <is>
          <t>Q-070</t>
        </is>
      </c>
      <c r="B74" s="2" t="s">
        <v>251</v>
      </c>
      <c r="C74" s="2" t="s">
        <v>265</v>
      </c>
      <c r="D74" s="2" t="s">
        <v>266</v>
      </c>
      <c r="E74" s="2" t="s">
        <v>38</v>
      </c>
      <c r="F74" s="3"/>
      <c r="G74" s="2" t="s">
        <v>39</v>
      </c>
      <c r="H74" s="3"/>
      <c r="I74" s="3"/>
      <c r="J74" s="3" t="str">
        <f>IF(LEN(TRIM(F74&amp;""))=0,"未回答",IF(OR(TRIM(F74&amp;"")="未定",TRIM(F74&amp;"")="要確認",TRIM(F74&amp;"")="TBD",TRIM(F74&amp;"")="不明",TRIM(F74&amp;"")="未確認"),"未確定",IF(OR(TRIM(F74&amp;"")="対象外",TRIM(F74&amp;"")="適用なし"),"対象外・要確認","回答あり")))</f>
        <v>未回答</v>
      </c>
    </row>
    <row r="75" spans="1:9">
      <c r="A75" s="2" t="inlineStr">
        <is>
          <t>Q-071</t>
        </is>
      </c>
      <c r="B75" s="2" t="s">
        <v>111</v>
      </c>
      <c r="C75" s="2" t="s">
        <v>268</v>
      </c>
      <c r="D75" s="2" t="s">
        <v>269</v>
      </c>
      <c r="E75" s="2" t="s">
        <v>38</v>
      </c>
      <c r="F75" s="3"/>
      <c r="G75" s="2" t="s">
        <v>39</v>
      </c>
      <c r="H75" s="3"/>
      <c r="I75" s="3"/>
      <c r="J75" s="3" t="str">
        <f>IF(LEN(TRIM(F75&amp;""))=0,"未回答",IF(OR(TRIM(F75&amp;"")="未定",TRIM(F75&amp;"")="要確認",TRIM(F75&amp;"")="TBD",TRIM(F75&amp;"")="不明",TRIM(F75&amp;"")="未確認"),"未確定",IF(OR(TRIM(F75&amp;"")="対象外",TRIM(F75&amp;"")="適用なし"),"対象外・要確認","回答あり")))</f>
        <v>未回答</v>
      </c>
    </row>
    <row r="76" spans="1:9" ht="30">
      <c r="A76" s="2" t="inlineStr">
        <is>
          <t>Q-072</t>
        </is>
      </c>
      <c r="B76" s="2" t="s">
        <v>111</v>
      </c>
      <c r="C76" s="2" t="s">
        <v>271</v>
      </c>
      <c r="D76" s="2" t="s">
        <v>272</v>
      </c>
      <c r="E76" s="2" t="s">
        <v>6</v>
      </c>
      <c r="F76" s="3"/>
      <c r="G76" s="2" t="s">
        <v>179</v>
      </c>
      <c r="H76" s="3"/>
      <c r="I76" s="3"/>
      <c r="J76" s="3" t="str">
        <f>IF(LEN(TRIM(F76&amp;""))=0,"未回答",IF(OR(TRIM(F76&amp;"")="未定",TRIM(F76&amp;"")="要確認",TRIM(F76&amp;"")="TBD",TRIM(F76&amp;"")="不明",TRIM(F76&amp;"")="未確認"),"未確定",IF(OR(TRIM(F76&amp;"")="対象外",TRIM(F76&amp;"")="適用なし"),"対象外・要確認","回答あり")))</f>
        <v>未回答</v>
      </c>
    </row>
  </sheetData>
  <autoFilter ref="A4:I32" ns2:uid="{00000000-0009-0000-0000-000000000000}"/>
  <mergeCells count="2">
    <mergeCell ref="A1:I1"/>
    <mergeCell ref="A2:I2"/>
  </mergeCells>
  <dataValidations count="4">
    <dataValidation type="list" allowBlank="1" showInputMessage="1" showErrorMessage="1" errorTitle="入力エラー" error="一覧から選択してください。" promptTitle="入力候補" prompt="候補から選択してください。" sqref="F7" ns2:uid="{00000000-0002-0000-0000-000000000000}">
      <formula1>対象フェーズ</formula1>
    </dataValidation>
    <dataValidation type="list" allowBlank="1" showInputMessage="1" showErrorMessage="1" errorTitle="入力エラー" error="一覧から選択してください。" promptTitle="入力候補" prompt="候補から選択してください。" sqref="F10" ns2:uid="{00000000-0002-0000-0000-000001000000}">
      <formula1>有無未定</formula1>
    </dataValidation>
    <dataValidation type="list" allowBlank="1" showInputMessage="1" showErrorMessage="1" errorTitle="入力エラー" error="一覧から選択してください。" promptTitle="入力候補" prompt="候補から選択してください。" sqref="F15" ns2:uid="{00000000-0002-0000-0000-000002000000}">
      <formula1>可用性</formula1>
    </dataValidation>
    <dataValidation type="list" allowBlank="1" showInputMessage="1" showErrorMessage="1" errorTitle="入力エラー" error="一覧から選択してください。" promptTitle="入力候補" prompt="候補から選択してください。" sqref="F19" ns2:uid="{00000000-0002-0000-0000-000003000000}">
      <formula1>WAN方式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dimension ref="A1:E10"/>
  <sheetViews>
    <sheetView showGridLines="0" workbookViewId="0"/>
  </sheetViews>
  <sheetFormatPr defaultRowHeight="15"/>
  <cols>
    <col min="1" max="1" width="20" customWidth="1"/>
    <col min="2" max="2" width="18" customWidth="1"/>
    <col min="3" max="3" width="20" customWidth="1"/>
    <col min="4" max="4" width="40" customWidth="1"/>
    <col min="5" max="5" width="25" customWidth="1"/>
  </cols>
  <sheetData>
    <row r="1" spans="1:5" ht="27.95" customHeight="1">
      <c r="A1" s="6" t="s">
        <v>273</v>
      </c>
      <c r="B1" s="7"/>
      <c r="C1" s="7"/>
      <c r="D1" s="7"/>
      <c r="E1" s="7"/>
    </row>
    <row r="2" spans="1:5" ht="30" customHeight="1">
      <c r="A2" s="5" t="inlineStr">
        <is>
          <t>現行72件（5〜76行）を集計。質問追加時はJ列と集計範囲も更新。</t>
        </is>
      </c>
      <c r="B2" s="7"/>
      <c r="C2" s="7"/>
      <c r="D2" s="7"/>
      <c r="E2" s="7"/>
    </row>
    <row r="4" spans="1:5" ht="27.95" customHeight="1">
      <c r="A4" s="1" t="s">
        <v>275</v>
      </c>
      <c r="B4" s="1" t="s">
        <v>276</v>
      </c>
      <c r="C4" s="1" t="s">
        <v>277</v>
      </c>
      <c r="D4" s="1" t="s">
        <v>278</v>
      </c>
      <c r="E4" s="1" t="s">
        <v>279</v>
      </c>
    </row>
    <row r="5" spans="1:5">
      <c r="A5" s="2" t="s">
        <v>280</v>
      </c>
      <c r="B5" s="2">
        <f>COUNTA('要件ヒアリング'!A5:A76)</f>
        <v>72</v>
      </c>
      <c r="C5" s="2" t="s">
        <v>281</v>
      </c>
      <c r="D5" s="2" t="s">
        <v>282</v>
      </c>
      <c r="E5" s="2" t="s">
        <v>281</v>
      </c>
    </row>
    <row r="6" spans="1:5">
      <c r="A6" s="2" t="inlineStr">
        <is>
          <t>回答あり</t>
        </is>
      </c>
      <c r="B6" s="2">
        <f>COUNTIF('要件ヒアリング'!J5:J76,"回答あり")</f>
        <v>0</v>
      </c>
      <c r="C6" s="2" t="s">
        <v>281</v>
      </c>
      <c r="D6" s="2" t="inlineStr">
        <is>
          <t>未定・空欄・対象外を除く回答</t>
        </is>
      </c>
      <c r="E6" s="2" t="s">
        <v>281</v>
      </c>
    </row>
    <row r="7" spans="1:5">
      <c r="A7" s="2" t="s">
        <v>285</v>
      </c>
      <c r="B7" s="2">
        <f>COUNTIF('要件ヒアリング'!E5:E76,"必須")</f>
        <v>44</v>
      </c>
      <c r="C7" s="2" t="s">
        <v>281</v>
      </c>
      <c r="D7" s="2" t="s">
        <v>286</v>
      </c>
      <c r="E7" s="2" t="s">
        <v>281</v>
      </c>
    </row>
    <row r="8" spans="1:5">
      <c r="A8" s="2" t="inlineStr">
        <is>
          <t>必須未確定等</t>
        </is>
      </c>
      <c r="B8" s="2">
        <f>B7-COUNTIFS('要件ヒアリング'!E5:E76,"必須",'要件ヒアリング'!J5:J76,"回答あり")</f>
        <v>44</v>
      </c>
      <c r="C8" s="2" t="s">
        <v>288</v>
      </c>
      <c r="D8" s="2" t="inlineStr">
        <is>
          <t>必須の未回答・未定・対象外</t>
        </is>
      </c>
      <c r="E8" s="2" t="s">
        <v>290</v>
      </c>
    </row>
    <row r="9" spans="1:5">
      <c r="A9" s="2" t="s">
        <v>291</v>
      </c>
      <c r="B9" s="4">
        <f>IF(B5=0,0,B6/B5)</f>
        <v>0</v>
      </c>
      <c r="C9" s="2" t="s">
        <v>292</v>
      </c>
      <c r="D9" s="2" t="s">
        <v>293</v>
      </c>
      <c r="E9" s="2" t="s">
        <v>294</v>
      </c>
    </row>
    <row r="10" spans="1:5">
      <c r="A10" s="2" t="s">
        <v>295</v>
      </c>
      <c r="B10" s="2" t="str">
        <f>IF(OR(B5=0,B8&gt;0),"要確認","人のレビュー待ち")</f>
        <v>要確認</v>
      </c>
      <c r="C10" s="2" t="inlineStr">
        <is>
          <t>人のレビュー待ち</t>
        </is>
      </c>
      <c r="D10" s="2" t="inlineStr">
        <is>
          <t>内容・根拠・対象外理由は別途レビュー</t>
        </is>
      </c>
      <c r="E10" s="2" t="s">
        <v>298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" customWidth="1"/>
    <col min="2" max="2" width="15" customWidth="1"/>
    <col min="3" max="3" width="24" customWidth="1"/>
    <col min="4" max="4" width="40" customWidth="1"/>
    <col min="5" max="5" width="25" customWidth="1"/>
    <col min="6" max="6" width="18" customWidth="1"/>
    <col min="7" max="8" width="14" customWidth="1"/>
    <col min="9" max="9" width="40" customWidth="1"/>
  </cols>
  <sheetData>
    <row r="1" spans="1:9" ht="27.95" customHeight="1">
      <c r="A1" s="6" t="s">
        <v>299</v>
      </c>
      <c r="B1" s="7"/>
      <c r="C1" s="7"/>
      <c r="D1" s="7"/>
      <c r="E1" s="7"/>
      <c r="F1" s="7"/>
      <c r="G1" s="7"/>
      <c r="H1" s="7"/>
      <c r="I1" s="7"/>
    </row>
    <row r="2" spans="1:9" ht="30" customHeight="1">
      <c r="A2" s="5" t="s">
        <v>300</v>
      </c>
      <c r="B2" s="7"/>
      <c r="C2" s="7"/>
      <c r="D2" s="7"/>
      <c r="E2" s="7"/>
      <c r="F2" s="7"/>
      <c r="G2" s="7"/>
      <c r="H2" s="7"/>
      <c r="I2" s="7"/>
    </row>
    <row r="4" spans="1:9" ht="27.95" customHeight="1">
      <c r="A4" s="1" t="s">
        <v>301</v>
      </c>
      <c r="B4" s="1" t="s">
        <v>302</v>
      </c>
      <c r="C4" s="1" t="s">
        <v>303</v>
      </c>
      <c r="D4" s="1" t="s">
        <v>304</v>
      </c>
      <c r="E4" s="1" t="s">
        <v>305</v>
      </c>
      <c r="F4" s="1" t="s">
        <v>306</v>
      </c>
      <c r="G4" s="1" t="s">
        <v>307</v>
      </c>
      <c r="H4" s="1" t="s">
        <v>308</v>
      </c>
      <c r="I4" s="1" t="s">
        <v>309</v>
      </c>
    </row>
    <row r="5" spans="1:9">
      <c r="A5" s="2" t="s">
        <v>310</v>
      </c>
      <c r="B5" s="3"/>
      <c r="C5" s="3"/>
      <c r="D5" s="3"/>
      <c r="E5" s="3"/>
      <c r="F5" s="3"/>
      <c r="G5" s="3"/>
      <c r="H5" s="3"/>
      <c r="I5" s="3"/>
    </row>
    <row r="6" spans="1:9">
      <c r="A6" s="2" t="s">
        <v>311</v>
      </c>
      <c r="B6" s="3"/>
      <c r="C6" s="3"/>
      <c r="D6" s="3"/>
      <c r="E6" s="3"/>
      <c r="F6" s="3"/>
      <c r="G6" s="3"/>
      <c r="H6" s="3"/>
      <c r="I6" s="3"/>
    </row>
    <row r="7" spans="1:9">
      <c r="A7" s="2" t="s">
        <v>312</v>
      </c>
      <c r="B7" s="3"/>
      <c r="C7" s="3"/>
      <c r="D7" s="3"/>
      <c r="E7" s="3"/>
      <c r="F7" s="3"/>
      <c r="G7" s="3"/>
      <c r="H7" s="3"/>
      <c r="I7" s="3"/>
    </row>
    <row r="8" spans="1:9">
      <c r="A8" s="2" t="s">
        <v>313</v>
      </c>
      <c r="B8" s="3"/>
      <c r="C8" s="3"/>
      <c r="D8" s="3"/>
      <c r="E8" s="3"/>
      <c r="F8" s="3"/>
      <c r="G8" s="3"/>
      <c r="H8" s="3"/>
      <c r="I8" s="3"/>
    </row>
    <row r="9" spans="1:9">
      <c r="A9" s="2" t="s">
        <v>314</v>
      </c>
      <c r="B9" s="3"/>
      <c r="C9" s="3"/>
      <c r="D9" s="3"/>
      <c r="E9" s="3"/>
      <c r="F9" s="3"/>
      <c r="G9" s="3"/>
      <c r="H9" s="3"/>
      <c r="I9" s="3"/>
    </row>
    <row r="10" spans="1:9">
      <c r="A10" s="2" t="s">
        <v>315</v>
      </c>
      <c r="B10" s="3"/>
      <c r="C10" s="3"/>
      <c r="D10" s="3"/>
      <c r="E10" s="3"/>
      <c r="F10" s="3"/>
      <c r="G10" s="3"/>
      <c r="H10" s="3"/>
      <c r="I10" s="3"/>
    </row>
    <row r="11" spans="1:9">
      <c r="A11" s="2" t="s">
        <v>316</v>
      </c>
      <c r="B11" s="3"/>
      <c r="C11" s="3"/>
      <c r="D11" s="3"/>
      <c r="E11" s="3"/>
      <c r="F11" s="3"/>
      <c r="G11" s="3"/>
      <c r="H11" s="3"/>
      <c r="I11" s="3"/>
    </row>
    <row r="12" spans="1:9">
      <c r="A12" s="2" t="s">
        <v>317</v>
      </c>
      <c r="B12" s="3"/>
      <c r="C12" s="3"/>
      <c r="D12" s="3"/>
      <c r="E12" s="3"/>
      <c r="F12" s="3"/>
      <c r="G12" s="3"/>
      <c r="H12" s="3"/>
      <c r="I12" s="3"/>
    </row>
    <row r="13" spans="1:9">
      <c r="A13" s="2" t="s">
        <v>318</v>
      </c>
      <c r="B13" s="3"/>
      <c r="C13" s="3"/>
      <c r="D13" s="3"/>
      <c r="E13" s="3"/>
      <c r="F13" s="3"/>
      <c r="G13" s="3"/>
      <c r="H13" s="3"/>
      <c r="I13" s="3"/>
    </row>
    <row r="14" spans="1:9">
      <c r="A14" s="2" t="s">
        <v>319</v>
      </c>
      <c r="B14" s="3"/>
      <c r="C14" s="3"/>
      <c r="D14" s="3"/>
      <c r="E14" s="3"/>
      <c r="F14" s="3"/>
      <c r="G14" s="3"/>
      <c r="H14" s="3"/>
      <c r="I14" s="3"/>
    </row>
    <row r="15" spans="1:9">
      <c r="A15" s="2" t="s">
        <v>320</v>
      </c>
      <c r="B15" s="3"/>
      <c r="C15" s="3"/>
      <c r="D15" s="3"/>
      <c r="E15" s="3"/>
      <c r="F15" s="3"/>
      <c r="G15" s="3"/>
      <c r="H15" s="3"/>
      <c r="I15" s="3"/>
    </row>
    <row r="16" spans="1:9">
      <c r="A16" s="2" t="s">
        <v>321</v>
      </c>
      <c r="B16" s="3"/>
      <c r="C16" s="3"/>
      <c r="D16" s="3"/>
      <c r="E16" s="3"/>
      <c r="F16" s="3"/>
      <c r="G16" s="3"/>
      <c r="H16" s="3"/>
      <c r="I16" s="3"/>
    </row>
    <row r="17" spans="1:9">
      <c r="A17" s="2" t="s">
        <v>322</v>
      </c>
      <c r="B17" s="3"/>
      <c r="C17" s="3"/>
      <c r="D17" s="3"/>
      <c r="E17" s="3"/>
      <c r="F17" s="3"/>
      <c r="G17" s="3"/>
      <c r="H17" s="3"/>
      <c r="I17" s="3"/>
    </row>
    <row r="18" spans="1:9">
      <c r="A18" s="2" t="s">
        <v>323</v>
      </c>
      <c r="B18" s="3"/>
      <c r="C18" s="3"/>
      <c r="D18" s="3"/>
      <c r="E18" s="3"/>
      <c r="F18" s="3"/>
      <c r="G18" s="3"/>
      <c r="H18" s="3"/>
      <c r="I18" s="3"/>
    </row>
    <row r="19" spans="1:9">
      <c r="A19" s="2" t="s">
        <v>324</v>
      </c>
      <c r="B19" s="3"/>
      <c r="C19" s="3"/>
      <c r="D19" s="3"/>
      <c r="E19" s="3"/>
      <c r="F19" s="3"/>
      <c r="G19" s="3"/>
      <c r="H19" s="3"/>
      <c r="I19" s="3"/>
    </row>
    <row r="20" spans="1:9">
      <c r="A20" s="2" t="s">
        <v>325</v>
      </c>
      <c r="B20" s="3"/>
      <c r="C20" s="3"/>
      <c r="D20" s="3"/>
      <c r="E20" s="3"/>
      <c r="F20" s="3"/>
      <c r="G20" s="3"/>
      <c r="H20" s="3"/>
      <c r="I20" s="3"/>
    </row>
    <row r="21" spans="1:9">
      <c r="A21" s="2" t="s">
        <v>326</v>
      </c>
      <c r="B21" s="3"/>
      <c r="C21" s="3"/>
      <c r="D21" s="3"/>
      <c r="E21" s="3"/>
      <c r="F21" s="3"/>
      <c r="G21" s="3"/>
      <c r="H21" s="3"/>
      <c r="I21" s="3"/>
    </row>
    <row r="22" spans="1:9">
      <c r="A22" s="2" t="s">
        <v>327</v>
      </c>
      <c r="B22" s="3"/>
      <c r="C22" s="3"/>
      <c r="D22" s="3"/>
      <c r="E22" s="3"/>
      <c r="F22" s="3"/>
      <c r="G22" s="3"/>
      <c r="H22" s="3"/>
      <c r="I22" s="3"/>
    </row>
    <row r="23" spans="1:9">
      <c r="A23" s="2" t="s">
        <v>328</v>
      </c>
      <c r="B23" s="3"/>
      <c r="C23" s="3"/>
      <c r="D23" s="3"/>
      <c r="E23" s="3"/>
      <c r="F23" s="3"/>
      <c r="G23" s="3"/>
      <c r="H23" s="3"/>
      <c r="I23" s="3"/>
    </row>
    <row r="24" spans="1:9">
      <c r="A24" s="2" t="s">
        <v>329</v>
      </c>
      <c r="B24" s="3"/>
      <c r="C24" s="3"/>
      <c r="D24" s="3"/>
      <c r="E24" s="3"/>
      <c r="F24" s="3"/>
      <c r="G24" s="3"/>
      <c r="H24" s="3"/>
      <c r="I24" s="3"/>
    </row>
    <row r="25" spans="1:9">
      <c r="A25" s="2" t="s">
        <v>330</v>
      </c>
      <c r="B25" s="3"/>
      <c r="C25" s="3"/>
      <c r="D25" s="3"/>
      <c r="E25" s="3"/>
      <c r="F25" s="3"/>
      <c r="G25" s="3"/>
      <c r="H25" s="3"/>
      <c r="I25" s="3"/>
    </row>
    <row r="26" spans="1:9">
      <c r="A26" s="2" t="s">
        <v>331</v>
      </c>
      <c r="B26" s="3"/>
      <c r="C26" s="3"/>
      <c r="D26" s="3"/>
      <c r="E26" s="3"/>
      <c r="F26" s="3"/>
      <c r="G26" s="3"/>
      <c r="H26" s="3"/>
      <c r="I26" s="3"/>
    </row>
    <row r="27" spans="1:9">
      <c r="A27" s="2" t="s">
        <v>332</v>
      </c>
      <c r="B27" s="3"/>
      <c r="C27" s="3"/>
      <c r="D27" s="3"/>
      <c r="E27" s="3"/>
      <c r="F27" s="3"/>
      <c r="G27" s="3"/>
      <c r="H27" s="3"/>
      <c r="I27" s="3"/>
    </row>
    <row r="28" spans="1:9">
      <c r="A28" s="2" t="s">
        <v>333</v>
      </c>
      <c r="B28" s="3"/>
      <c r="C28" s="3"/>
      <c r="D28" s="3"/>
      <c r="E28" s="3"/>
      <c r="F28" s="3"/>
      <c r="G28" s="3"/>
      <c r="H28" s="3"/>
      <c r="I28" s="3"/>
    </row>
    <row r="29" spans="1:9">
      <c r="A29" s="2" t="s">
        <v>334</v>
      </c>
      <c r="B29" s="3"/>
      <c r="C29" s="3"/>
      <c r="D29" s="3"/>
      <c r="E29" s="3"/>
      <c r="F29" s="3"/>
      <c r="G29" s="3"/>
      <c r="H29" s="3"/>
      <c r="I29" s="3"/>
    </row>
    <row r="30" spans="1:9">
      <c r="A30" s="2" t="s">
        <v>335</v>
      </c>
      <c r="B30" s="3"/>
      <c r="C30" s="3"/>
      <c r="D30" s="3"/>
      <c r="E30" s="3"/>
      <c r="F30" s="3"/>
      <c r="G30" s="3"/>
      <c r="H30" s="3"/>
      <c r="I30" s="3"/>
    </row>
    <row r="31" spans="1:9">
      <c r="A31" s="2" t="s">
        <v>336</v>
      </c>
      <c r="B31" s="3"/>
      <c r="C31" s="3"/>
      <c r="D31" s="3"/>
      <c r="E31" s="3"/>
      <c r="F31" s="3"/>
      <c r="G31" s="3"/>
      <c r="H31" s="3"/>
      <c r="I31" s="3"/>
    </row>
    <row r="32" spans="1:9">
      <c r="A32" s="2" t="s">
        <v>337</v>
      </c>
      <c r="B32" s="3"/>
      <c r="C32" s="3"/>
      <c r="D32" s="3"/>
      <c r="E32" s="3"/>
      <c r="F32" s="3"/>
      <c r="G32" s="3"/>
      <c r="H32" s="3"/>
      <c r="I32" s="3"/>
    </row>
    <row r="33" spans="1:9">
      <c r="A33" s="2" t="s">
        <v>338</v>
      </c>
      <c r="B33" s="3"/>
      <c r="C33" s="3"/>
      <c r="D33" s="3"/>
      <c r="E33" s="3"/>
      <c r="F33" s="3"/>
      <c r="G33" s="3"/>
      <c r="H33" s="3"/>
      <c r="I33" s="3"/>
    </row>
    <row r="34" spans="1:9">
      <c r="A34" s="2" t="s">
        <v>339</v>
      </c>
      <c r="B34" s="3"/>
      <c r="C34" s="3"/>
      <c r="D34" s="3"/>
      <c r="E34" s="3"/>
      <c r="F34" s="3"/>
      <c r="G34" s="3"/>
      <c r="H34" s="3"/>
      <c r="I34" s="3"/>
    </row>
    <row r="35" spans="1:9">
      <c r="A35" s="2" t="s">
        <v>340</v>
      </c>
      <c r="B35" s="3"/>
      <c r="C35" s="3"/>
      <c r="D35" s="3"/>
      <c r="E35" s="3"/>
      <c r="F35" s="3"/>
      <c r="G35" s="3"/>
      <c r="H35" s="3"/>
      <c r="I35" s="3"/>
    </row>
    <row r="36" spans="1:9">
      <c r="A36" s="2" t="s">
        <v>341</v>
      </c>
      <c r="B36" s="3"/>
      <c r="C36" s="3"/>
      <c r="D36" s="3"/>
      <c r="E36" s="3"/>
      <c r="F36" s="3"/>
      <c r="G36" s="3"/>
      <c r="H36" s="3"/>
      <c r="I36" s="3"/>
    </row>
    <row r="37" spans="1:9">
      <c r="A37" s="2" t="s">
        <v>342</v>
      </c>
      <c r="B37" s="3"/>
      <c r="C37" s="3"/>
      <c r="D37" s="3"/>
      <c r="E37" s="3"/>
      <c r="F37" s="3"/>
      <c r="G37" s="3"/>
      <c r="H37" s="3"/>
      <c r="I37" s="3"/>
    </row>
    <row r="38" spans="1:9">
      <c r="A38" s="2" t="s">
        <v>343</v>
      </c>
      <c r="B38" s="3"/>
      <c r="C38" s="3"/>
      <c r="D38" s="3"/>
      <c r="E38" s="3"/>
      <c r="F38" s="3"/>
      <c r="G38" s="3"/>
      <c r="H38" s="3"/>
      <c r="I38" s="3"/>
    </row>
    <row r="39" spans="1:9">
      <c r="A39" s="2" t="s">
        <v>344</v>
      </c>
      <c r="B39" s="3"/>
      <c r="C39" s="3"/>
      <c r="D39" s="3"/>
      <c r="E39" s="3"/>
      <c r="F39" s="3"/>
      <c r="G39" s="3"/>
      <c r="H39" s="3"/>
      <c r="I39" s="3"/>
    </row>
    <row r="40" spans="1:9">
      <c r="A40" s="2" t="s">
        <v>345</v>
      </c>
      <c r="B40" s="3"/>
      <c r="C40" s="3"/>
      <c r="D40" s="3"/>
      <c r="E40" s="3"/>
      <c r="F40" s="3"/>
      <c r="G40" s="3"/>
      <c r="H40" s="3"/>
      <c r="I40" s="3"/>
    </row>
    <row r="41" spans="1:9">
      <c r="A41" s="2" t="s">
        <v>346</v>
      </c>
      <c r="B41" s="3"/>
      <c r="C41" s="3"/>
      <c r="D41" s="3"/>
      <c r="E41" s="3"/>
      <c r="F41" s="3"/>
      <c r="G41" s="3"/>
      <c r="H41" s="3"/>
      <c r="I41" s="3"/>
    </row>
    <row r="42" spans="1:9">
      <c r="A42" s="2" t="s">
        <v>347</v>
      </c>
      <c r="B42" s="3"/>
      <c r="C42" s="3"/>
      <c r="D42" s="3"/>
      <c r="E42" s="3"/>
      <c r="F42" s="3"/>
      <c r="G42" s="3"/>
      <c r="H42" s="3"/>
      <c r="I42" s="3"/>
    </row>
    <row r="43" spans="1:9">
      <c r="A43" s="2" t="s">
        <v>348</v>
      </c>
      <c r="B43" s="3"/>
      <c r="C43" s="3"/>
      <c r="D43" s="3"/>
      <c r="E43" s="3"/>
      <c r="F43" s="3"/>
      <c r="G43" s="3"/>
      <c r="H43" s="3"/>
      <c r="I43" s="3"/>
    </row>
    <row r="44" spans="1:9">
      <c r="A44" s="2" t="s">
        <v>349</v>
      </c>
      <c r="B44" s="3"/>
      <c r="C44" s="3"/>
      <c r="D44" s="3"/>
      <c r="E44" s="3"/>
      <c r="F44" s="3"/>
      <c r="G44" s="3"/>
      <c r="H44" s="3"/>
      <c r="I44" s="3"/>
    </row>
    <row r="45" spans="1:9">
      <c r="A45" s="2" t="s">
        <v>350</v>
      </c>
      <c r="B45" s="3"/>
      <c r="C45" s="3"/>
      <c r="D45" s="3"/>
      <c r="E45" s="3"/>
      <c r="F45" s="3"/>
      <c r="G45" s="3"/>
      <c r="H45" s="3"/>
      <c r="I45" s="3"/>
    </row>
    <row r="46" spans="1:9">
      <c r="A46" s="2" t="s">
        <v>351</v>
      </c>
      <c r="B46" s="3"/>
      <c r="C46" s="3"/>
      <c r="D46" s="3"/>
      <c r="E46" s="3"/>
      <c r="F46" s="3"/>
      <c r="G46" s="3"/>
      <c r="H46" s="3"/>
      <c r="I46" s="3"/>
    </row>
    <row r="47" spans="1:9">
      <c r="A47" s="2" t="s">
        <v>352</v>
      </c>
      <c r="B47" s="3"/>
      <c r="C47" s="3"/>
      <c r="D47" s="3"/>
      <c r="E47" s="3"/>
      <c r="F47" s="3"/>
      <c r="G47" s="3"/>
      <c r="H47" s="3"/>
      <c r="I47" s="3"/>
    </row>
    <row r="48" spans="1:9">
      <c r="A48" s="2" t="s">
        <v>353</v>
      </c>
      <c r="B48" s="3"/>
      <c r="C48" s="3"/>
      <c r="D48" s="3"/>
      <c r="E48" s="3"/>
      <c r="F48" s="3"/>
      <c r="G48" s="3"/>
      <c r="H48" s="3"/>
      <c r="I48" s="3"/>
    </row>
    <row r="49" spans="1:9">
      <c r="A49" s="2" t="s">
        <v>354</v>
      </c>
      <c r="B49" s="3"/>
      <c r="C49" s="3"/>
      <c r="D49" s="3"/>
      <c r="E49" s="3"/>
      <c r="F49" s="3"/>
      <c r="G49" s="3"/>
      <c r="H49" s="3"/>
      <c r="I49" s="3"/>
    </row>
    <row r="50" spans="1:9">
      <c r="A50" s="2" t="s">
        <v>355</v>
      </c>
      <c r="B50" s="3"/>
      <c r="C50" s="3"/>
      <c r="D50" s="3"/>
      <c r="E50" s="3"/>
      <c r="F50" s="3"/>
      <c r="G50" s="3"/>
      <c r="H50" s="3"/>
      <c r="I50" s="3"/>
    </row>
    <row r="51" spans="1:9">
      <c r="A51" s="2" t="s">
        <v>356</v>
      </c>
      <c r="B51" s="3"/>
      <c r="C51" s="3"/>
      <c r="D51" s="3"/>
      <c r="E51" s="3"/>
      <c r="F51" s="3"/>
      <c r="G51" s="3"/>
      <c r="H51" s="3"/>
      <c r="I51" s="3"/>
    </row>
    <row r="52" spans="1:9">
      <c r="A52" s="2" t="s">
        <v>357</v>
      </c>
      <c r="B52" s="3"/>
      <c r="C52" s="3"/>
      <c r="D52" s="3"/>
      <c r="E52" s="3"/>
      <c r="F52" s="3"/>
      <c r="G52" s="3"/>
      <c r="H52" s="3"/>
      <c r="I52" s="3"/>
    </row>
    <row r="53" spans="1:9">
      <c r="A53" s="2" t="s">
        <v>358</v>
      </c>
      <c r="B53" s="3"/>
      <c r="C53" s="3"/>
      <c r="D53" s="3"/>
      <c r="E53" s="3"/>
      <c r="F53" s="3"/>
      <c r="G53" s="3"/>
      <c r="H53" s="3"/>
      <c r="I53" s="3"/>
    </row>
    <row r="54" spans="1:9">
      <c r="A54" s="2" t="s">
        <v>359</v>
      </c>
      <c r="B54" s="3"/>
      <c r="C54" s="3"/>
      <c r="D54" s="3"/>
      <c r="E54" s="3"/>
      <c r="F54" s="3"/>
      <c r="G54" s="3"/>
      <c r="H54" s="3"/>
      <c r="I54" s="3"/>
    </row>
    <row r="55" spans="1:9">
      <c r="A55" s="2" t="s">
        <v>360</v>
      </c>
      <c r="B55" s="3"/>
      <c r="C55" s="3"/>
      <c r="D55" s="3"/>
      <c r="E55" s="3"/>
      <c r="F55" s="3"/>
      <c r="G55" s="3"/>
      <c r="H55" s="3"/>
      <c r="I55" s="3"/>
    </row>
    <row r="56" spans="1:9">
      <c r="A56" s="2" t="s">
        <v>361</v>
      </c>
      <c r="B56" s="3"/>
      <c r="C56" s="3"/>
      <c r="D56" s="3"/>
      <c r="E56" s="3"/>
      <c r="F56" s="3"/>
      <c r="G56" s="3"/>
      <c r="H56" s="3"/>
      <c r="I56" s="3"/>
    </row>
    <row r="57" spans="1:9">
      <c r="A57" s="2" t="s">
        <v>362</v>
      </c>
      <c r="B57" s="3"/>
      <c r="C57" s="3"/>
      <c r="D57" s="3"/>
      <c r="E57" s="3"/>
      <c r="F57" s="3"/>
      <c r="G57" s="3"/>
      <c r="H57" s="3"/>
      <c r="I57" s="3"/>
    </row>
    <row r="58" spans="1:9">
      <c r="A58" s="2" t="s">
        <v>363</v>
      </c>
      <c r="B58" s="3"/>
      <c r="C58" s="3"/>
      <c r="D58" s="3"/>
      <c r="E58" s="3"/>
      <c r="F58" s="3"/>
      <c r="G58" s="3"/>
      <c r="H58" s="3"/>
      <c r="I58" s="3"/>
    </row>
    <row r="59" spans="1:9">
      <c r="A59" s="2" t="s">
        <v>364</v>
      </c>
      <c r="B59" s="3"/>
      <c r="C59" s="3"/>
      <c r="D59" s="3"/>
      <c r="E59" s="3"/>
      <c r="F59" s="3"/>
      <c r="G59" s="3"/>
      <c r="H59" s="3"/>
      <c r="I59" s="3"/>
    </row>
    <row r="60" spans="1:9">
      <c r="A60" s="2" t="s">
        <v>365</v>
      </c>
      <c r="B60" s="3"/>
      <c r="C60" s="3"/>
      <c r="D60" s="3"/>
      <c r="E60" s="3"/>
      <c r="F60" s="3"/>
      <c r="G60" s="3"/>
      <c r="H60" s="3"/>
      <c r="I60" s="3"/>
    </row>
    <row r="61" spans="1:9">
      <c r="A61" s="2" t="s">
        <v>366</v>
      </c>
      <c r="B61" s="3"/>
      <c r="C61" s="3"/>
      <c r="D61" s="3"/>
      <c r="E61" s="3"/>
      <c r="F61" s="3"/>
      <c r="G61" s="3"/>
      <c r="H61" s="3"/>
      <c r="I61" s="3"/>
    </row>
    <row r="62" spans="1:9">
      <c r="A62" s="2" t="s">
        <v>367</v>
      </c>
      <c r="B62" s="3"/>
      <c r="C62" s="3"/>
      <c r="D62" s="3"/>
      <c r="E62" s="3"/>
      <c r="F62" s="3"/>
      <c r="G62" s="3"/>
      <c r="H62" s="3"/>
      <c r="I62" s="3"/>
    </row>
    <row r="63" spans="1:9">
      <c r="A63" s="2" t="s">
        <v>368</v>
      </c>
      <c r="B63" s="3"/>
      <c r="C63" s="3"/>
      <c r="D63" s="3"/>
      <c r="E63" s="3"/>
      <c r="F63" s="3"/>
      <c r="G63" s="3"/>
      <c r="H63" s="3"/>
      <c r="I63" s="3"/>
    </row>
    <row r="64" spans="1:9">
      <c r="A64" s="2" t="s">
        <v>369</v>
      </c>
      <c r="B64" s="3"/>
      <c r="C64" s="3"/>
      <c r="D64" s="3"/>
      <c r="E64" s="3"/>
      <c r="F64" s="3"/>
      <c r="G64" s="3"/>
      <c r="H64" s="3"/>
      <c r="I64" s="3"/>
    </row>
    <row r="65" spans="1:9">
      <c r="A65" s="2" t="s">
        <v>370</v>
      </c>
      <c r="B65" s="3"/>
      <c r="C65" s="3"/>
      <c r="D65" s="3"/>
      <c r="E65" s="3"/>
      <c r="F65" s="3"/>
      <c r="G65" s="3"/>
      <c r="H65" s="3"/>
      <c r="I65" s="3"/>
    </row>
    <row r="66" spans="1:9">
      <c r="A66" s="2" t="s">
        <v>371</v>
      </c>
      <c r="B66" s="3"/>
      <c r="C66" s="3"/>
      <c r="D66" s="3"/>
      <c r="E66" s="3"/>
      <c r="F66" s="3"/>
      <c r="G66" s="3"/>
      <c r="H66" s="3"/>
      <c r="I66" s="3"/>
    </row>
    <row r="67" spans="1:9">
      <c r="A67" s="2" t="s">
        <v>372</v>
      </c>
      <c r="B67" s="3"/>
      <c r="C67" s="3"/>
      <c r="D67" s="3"/>
      <c r="E67" s="3"/>
      <c r="F67" s="3"/>
      <c r="G67" s="3"/>
      <c r="H67" s="3"/>
      <c r="I67" s="3"/>
    </row>
    <row r="68" spans="1:9">
      <c r="A68" s="2" t="s">
        <v>373</v>
      </c>
      <c r="B68" s="3"/>
      <c r="C68" s="3"/>
      <c r="D68" s="3"/>
      <c r="E68" s="3"/>
      <c r="F68" s="3"/>
      <c r="G68" s="3"/>
      <c r="H68" s="3"/>
      <c r="I68" s="3"/>
    </row>
    <row r="69" spans="1:9">
      <c r="A69" s="2" t="s">
        <v>374</v>
      </c>
      <c r="B69" s="3"/>
      <c r="C69" s="3"/>
      <c r="D69" s="3"/>
      <c r="E69" s="3"/>
      <c r="F69" s="3"/>
      <c r="G69" s="3"/>
      <c r="H69" s="3"/>
      <c r="I69" s="3"/>
    </row>
    <row r="70" spans="1:9">
      <c r="A70" s="2" t="s">
        <v>375</v>
      </c>
      <c r="B70" s="3"/>
      <c r="C70" s="3"/>
      <c r="D70" s="3"/>
      <c r="E70" s="3"/>
      <c r="F70" s="3"/>
      <c r="G70" s="3"/>
      <c r="H70" s="3"/>
      <c r="I70" s="3"/>
    </row>
    <row r="71" spans="1:9">
      <c r="A71" s="2" t="s">
        <v>376</v>
      </c>
      <c r="B71" s="3"/>
      <c r="C71" s="3"/>
      <c r="D71" s="3"/>
      <c r="E71" s="3"/>
      <c r="F71" s="3"/>
      <c r="G71" s="3"/>
      <c r="H71" s="3"/>
      <c r="I71" s="3"/>
    </row>
    <row r="72" spans="1:9">
      <c r="A72" s="2" t="s">
        <v>377</v>
      </c>
      <c r="B72" s="3"/>
      <c r="C72" s="3"/>
      <c r="D72" s="3"/>
      <c r="E72" s="3"/>
      <c r="F72" s="3"/>
      <c r="G72" s="3"/>
      <c r="H72" s="3"/>
      <c r="I72" s="3"/>
    </row>
    <row r="73" spans="1:9">
      <c r="A73" s="2" t="s">
        <v>378</v>
      </c>
      <c r="B73" s="3"/>
      <c r="C73" s="3"/>
      <c r="D73" s="3"/>
      <c r="E73" s="3"/>
      <c r="F73" s="3"/>
      <c r="G73" s="3"/>
      <c r="H73" s="3"/>
      <c r="I73" s="3"/>
    </row>
    <row r="74" spans="1:9">
      <c r="A74" s="2" t="s">
        <v>379</v>
      </c>
      <c r="B74" s="3"/>
      <c r="C74" s="3"/>
      <c r="D74" s="3"/>
      <c r="E74" s="3"/>
      <c r="F74" s="3"/>
      <c r="G74" s="3"/>
      <c r="H74" s="3"/>
      <c r="I74" s="3"/>
    </row>
    <row r="75" spans="1:9">
      <c r="A75" s="2" t="s">
        <v>380</v>
      </c>
      <c r="B75" s="3"/>
      <c r="C75" s="3"/>
      <c r="D75" s="3"/>
      <c r="E75" s="3"/>
      <c r="F75" s="3"/>
      <c r="G75" s="3"/>
      <c r="H75" s="3"/>
      <c r="I75" s="3"/>
    </row>
    <row r="76" spans="1:9">
      <c r="A76" s="2" t="s">
        <v>381</v>
      </c>
      <c r="B76" s="3"/>
      <c r="C76" s="3"/>
      <c r="D76" s="3"/>
      <c r="E76" s="3"/>
      <c r="F76" s="3"/>
      <c r="G76" s="3"/>
      <c r="H76" s="3"/>
      <c r="I76" s="3"/>
    </row>
    <row r="77" spans="1:9">
      <c r="A77" s="2" t="s">
        <v>382</v>
      </c>
      <c r="B77" s="3"/>
      <c r="C77" s="3"/>
      <c r="D77" s="3"/>
      <c r="E77" s="3"/>
      <c r="F77" s="3"/>
      <c r="G77" s="3"/>
      <c r="H77" s="3"/>
      <c r="I77" s="3"/>
    </row>
    <row r="78" spans="1:9">
      <c r="A78" s="2" t="s">
        <v>383</v>
      </c>
      <c r="B78" s="3"/>
      <c r="C78" s="3"/>
      <c r="D78" s="3"/>
      <c r="E78" s="3"/>
      <c r="F78" s="3"/>
      <c r="G78" s="3"/>
      <c r="H78" s="3"/>
      <c r="I78" s="3"/>
    </row>
    <row r="79" spans="1:9">
      <c r="A79" s="2" t="s">
        <v>384</v>
      </c>
      <c r="B79" s="3"/>
      <c r="C79" s="3"/>
      <c r="D79" s="3"/>
      <c r="E79" s="3"/>
      <c r="F79" s="3"/>
      <c r="G79" s="3"/>
      <c r="H79" s="3"/>
      <c r="I79" s="3"/>
    </row>
    <row r="80" spans="1:9">
      <c r="A80" s="2" t="s">
        <v>385</v>
      </c>
      <c r="B80" s="3"/>
      <c r="C80" s="3"/>
      <c r="D80" s="3"/>
      <c r="E80" s="3"/>
      <c r="F80" s="3"/>
      <c r="G80" s="3"/>
      <c r="H80" s="3"/>
      <c r="I80" s="3"/>
    </row>
    <row r="81" spans="1:9">
      <c r="A81" s="2" t="s">
        <v>386</v>
      </c>
      <c r="B81" s="3"/>
      <c r="C81" s="3"/>
      <c r="D81" s="3"/>
      <c r="E81" s="3"/>
      <c r="F81" s="3"/>
      <c r="G81" s="3"/>
      <c r="H81" s="3"/>
      <c r="I81" s="3"/>
    </row>
    <row r="82" spans="1:9">
      <c r="A82" s="2" t="s">
        <v>387</v>
      </c>
      <c r="B82" s="3"/>
      <c r="C82" s="3"/>
      <c r="D82" s="3"/>
      <c r="E82" s="3"/>
      <c r="F82" s="3"/>
      <c r="G82" s="3"/>
      <c r="H82" s="3"/>
      <c r="I82" s="3"/>
    </row>
    <row r="83" spans="1:9">
      <c r="A83" s="2" t="s">
        <v>388</v>
      </c>
      <c r="B83" s="3"/>
      <c r="C83" s="3"/>
      <c r="D83" s="3"/>
      <c r="E83" s="3"/>
      <c r="F83" s="3"/>
      <c r="G83" s="3"/>
      <c r="H83" s="3"/>
      <c r="I83" s="3"/>
    </row>
    <row r="84" spans="1:9">
      <c r="A84" s="2" t="s">
        <v>389</v>
      </c>
      <c r="B84" s="3"/>
      <c r="C84" s="3"/>
      <c r="D84" s="3"/>
      <c r="E84" s="3"/>
      <c r="F84" s="3"/>
      <c r="G84" s="3"/>
      <c r="H84" s="3"/>
      <c r="I84" s="3"/>
    </row>
    <row r="85" spans="1:9">
      <c r="A85" s="2" t="s">
        <v>390</v>
      </c>
      <c r="B85" s="3"/>
      <c r="C85" s="3"/>
      <c r="D85" s="3"/>
      <c r="E85" s="3"/>
      <c r="F85" s="3"/>
      <c r="G85" s="3"/>
      <c r="H85" s="3"/>
      <c r="I85" s="3"/>
    </row>
    <row r="86" spans="1:9">
      <c r="A86" s="2" t="s">
        <v>391</v>
      </c>
      <c r="B86" s="3"/>
      <c r="C86" s="3"/>
      <c r="D86" s="3"/>
      <c r="E86" s="3"/>
      <c r="F86" s="3"/>
      <c r="G86" s="3"/>
      <c r="H86" s="3"/>
      <c r="I86" s="3"/>
    </row>
    <row r="87" spans="1:9">
      <c r="A87" s="2" t="s">
        <v>392</v>
      </c>
      <c r="B87" s="3"/>
      <c r="C87" s="3"/>
      <c r="D87" s="3"/>
      <c r="E87" s="3"/>
      <c r="F87" s="3"/>
      <c r="G87" s="3"/>
      <c r="H87" s="3"/>
      <c r="I87" s="3"/>
    </row>
    <row r="88" spans="1:9">
      <c r="A88" s="2" t="s">
        <v>393</v>
      </c>
      <c r="B88" s="3"/>
      <c r="C88" s="3"/>
      <c r="D88" s="3"/>
      <c r="E88" s="3"/>
      <c r="F88" s="3"/>
      <c r="G88" s="3"/>
      <c r="H88" s="3"/>
      <c r="I88" s="3"/>
    </row>
    <row r="89" spans="1:9">
      <c r="A89" s="2" t="s">
        <v>394</v>
      </c>
      <c r="B89" s="3"/>
      <c r="C89" s="3"/>
      <c r="D89" s="3"/>
      <c r="E89" s="3"/>
      <c r="F89" s="3"/>
      <c r="G89" s="3"/>
      <c r="H89" s="3"/>
      <c r="I89" s="3"/>
    </row>
    <row r="90" spans="1:9">
      <c r="A90" s="2" t="s">
        <v>395</v>
      </c>
      <c r="B90" s="3"/>
      <c r="C90" s="3"/>
      <c r="D90" s="3"/>
      <c r="E90" s="3"/>
      <c r="F90" s="3"/>
      <c r="G90" s="3"/>
      <c r="H90" s="3"/>
      <c r="I90" s="3"/>
    </row>
    <row r="91" spans="1:9">
      <c r="A91" s="2" t="s">
        <v>396</v>
      </c>
      <c r="B91" s="3"/>
      <c r="C91" s="3"/>
      <c r="D91" s="3"/>
      <c r="E91" s="3"/>
      <c r="F91" s="3"/>
      <c r="G91" s="3"/>
      <c r="H91" s="3"/>
      <c r="I91" s="3"/>
    </row>
    <row r="92" spans="1:9">
      <c r="A92" s="2" t="s">
        <v>397</v>
      </c>
      <c r="B92" s="3"/>
      <c r="C92" s="3"/>
      <c r="D92" s="3"/>
      <c r="E92" s="3"/>
      <c r="F92" s="3"/>
      <c r="G92" s="3"/>
      <c r="H92" s="3"/>
      <c r="I92" s="3"/>
    </row>
    <row r="93" spans="1:9">
      <c r="A93" s="2" t="s">
        <v>398</v>
      </c>
      <c r="B93" s="3"/>
      <c r="C93" s="3"/>
      <c r="D93" s="3"/>
      <c r="E93" s="3"/>
      <c r="F93" s="3"/>
      <c r="G93" s="3"/>
      <c r="H93" s="3"/>
      <c r="I93" s="3"/>
    </row>
    <row r="94" spans="1:9">
      <c r="A94" s="2" t="s">
        <v>399</v>
      </c>
      <c r="B94" s="3"/>
      <c r="C94" s="3"/>
      <c r="D94" s="3"/>
      <c r="E94" s="3"/>
      <c r="F94" s="3"/>
      <c r="G94" s="3"/>
      <c r="H94" s="3"/>
      <c r="I94" s="3"/>
    </row>
    <row r="95" spans="1:9">
      <c r="A95" s="2" t="s">
        <v>400</v>
      </c>
      <c r="B95" s="3"/>
      <c r="C95" s="3"/>
      <c r="D95" s="3"/>
      <c r="E95" s="3"/>
      <c r="F95" s="3"/>
      <c r="G95" s="3"/>
      <c r="H95" s="3"/>
      <c r="I95" s="3"/>
    </row>
    <row r="96" spans="1:9">
      <c r="A96" s="2" t="s">
        <v>401</v>
      </c>
      <c r="B96" s="3"/>
      <c r="C96" s="3"/>
      <c r="D96" s="3"/>
      <c r="E96" s="3"/>
      <c r="F96" s="3"/>
      <c r="G96" s="3"/>
      <c r="H96" s="3"/>
      <c r="I96" s="3"/>
    </row>
    <row r="97" spans="1:9">
      <c r="A97" s="2" t="s">
        <v>402</v>
      </c>
      <c r="B97" s="3"/>
      <c r="C97" s="3"/>
      <c r="D97" s="3"/>
      <c r="E97" s="3"/>
      <c r="F97" s="3"/>
      <c r="G97" s="3"/>
      <c r="H97" s="3"/>
      <c r="I97" s="3"/>
    </row>
    <row r="98" spans="1:9">
      <c r="A98" s="2" t="s">
        <v>403</v>
      </c>
      <c r="B98" s="3"/>
      <c r="C98" s="3"/>
      <c r="D98" s="3"/>
      <c r="E98" s="3"/>
      <c r="F98" s="3"/>
      <c r="G98" s="3"/>
      <c r="H98" s="3"/>
      <c r="I98" s="3"/>
    </row>
    <row r="99" spans="1:9">
      <c r="A99" s="2" t="s">
        <v>404</v>
      </c>
      <c r="B99" s="3"/>
      <c r="C99" s="3"/>
      <c r="D99" s="3"/>
      <c r="E99" s="3"/>
      <c r="F99" s="3"/>
      <c r="G99" s="3"/>
      <c r="H99" s="3"/>
      <c r="I99" s="3"/>
    </row>
    <row r="100" spans="1:9">
      <c r="A100" s="2" t="s">
        <v>405</v>
      </c>
      <c r="B100" s="3"/>
      <c r="C100" s="3"/>
      <c r="D100" s="3"/>
      <c r="E100" s="3"/>
      <c r="F100" s="3"/>
      <c r="G100" s="3"/>
      <c r="H100" s="3"/>
      <c r="I100" s="3"/>
    </row>
    <row r="101" spans="1:9">
      <c r="A101" s="2" t="s">
        <v>406</v>
      </c>
      <c r="B101" s="3"/>
      <c r="C101" s="3"/>
      <c r="D101" s="3"/>
      <c r="E101" s="3"/>
      <c r="F101" s="3"/>
      <c r="G101" s="3"/>
      <c r="H101" s="3"/>
      <c r="I101" s="3"/>
    </row>
    <row r="102" spans="1:9">
      <c r="A102" s="2" t="s">
        <v>407</v>
      </c>
      <c r="B102" s="3"/>
      <c r="C102" s="3"/>
      <c r="D102" s="3"/>
      <c r="E102" s="3"/>
      <c r="F102" s="3"/>
      <c r="G102" s="3"/>
      <c r="H102" s="3"/>
      <c r="I102" s="3"/>
    </row>
    <row r="103" spans="1:9">
      <c r="A103" s="2" t="s">
        <v>408</v>
      </c>
      <c r="B103" s="3"/>
      <c r="C103" s="3"/>
      <c r="D103" s="3"/>
      <c r="E103" s="3"/>
      <c r="F103" s="3"/>
      <c r="G103" s="3"/>
      <c r="H103" s="3"/>
      <c r="I103" s="3"/>
    </row>
    <row r="104" spans="1:9">
      <c r="A104" s="2" t="s">
        <v>409</v>
      </c>
      <c r="B104" s="3"/>
      <c r="C104" s="3"/>
      <c r="D104" s="3"/>
      <c r="E104" s="3"/>
      <c r="F104" s="3"/>
      <c r="G104" s="3"/>
      <c r="H104" s="3"/>
      <c r="I104" s="3"/>
    </row>
  </sheetData>
  <autoFilter ref="A4:I104" xr:uid="{00000000-0009-0000-0000-000002000000}"/>
  <mergeCells count="2">
    <mergeCell ref="A1:I1"/>
    <mergeCell ref="A2:I2"/>
  </mergeCells>
  <dataValidations count="1">
    <dataValidation type="list" allowBlank="1" showInputMessage="1" showErrorMessage="1" errorTitle="入力エラー" error="一覧から選択してください。" promptTitle="入力候補" prompt="候補から選択してください。" sqref="H5:H104" xr:uid="{00000000-0002-0000-0200-000000000000}">
      <formula1>課題状態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" customWidth="1"/>
    <col min="2" max="2" width="35" customWidth="1"/>
    <col min="3" max="3" width="12" customWidth="1"/>
    <col min="4" max="4" width="14" customWidth="1"/>
    <col min="5" max="5" width="20" customWidth="1"/>
    <col min="6" max="6" width="55" customWidth="1"/>
    <col min="7" max="7" width="35" customWidth="1"/>
  </cols>
  <sheetData>
    <row r="1" spans="1:7" ht="27.95" customHeight="1">
      <c r="A1" s="6" t="s">
        <v>410</v>
      </c>
      <c r="B1" s="7"/>
      <c r="C1" s="7"/>
      <c r="D1" s="7"/>
      <c r="E1" s="7"/>
      <c r="F1" s="7"/>
      <c r="G1" s="7"/>
    </row>
    <row r="2" spans="1:7" ht="30" customHeight="1">
      <c r="A2" s="5" t="s">
        <v>411</v>
      </c>
      <c r="B2" s="7"/>
      <c r="C2" s="7"/>
      <c r="D2" s="7"/>
      <c r="E2" s="7"/>
      <c r="F2" s="7"/>
      <c r="G2" s="7"/>
    </row>
    <row r="4" spans="1:7" ht="27.95" customHeight="1">
      <c r="A4" s="1" t="s">
        <v>412</v>
      </c>
      <c r="B4" s="1" t="s">
        <v>413</v>
      </c>
      <c r="C4" s="1" t="s">
        <v>414</v>
      </c>
      <c r="D4" s="1" t="s">
        <v>415</v>
      </c>
      <c r="E4" s="1" t="s">
        <v>416</v>
      </c>
      <c r="F4" s="1" t="s">
        <v>417</v>
      </c>
      <c r="G4" s="1" t="s">
        <v>10</v>
      </c>
    </row>
    <row r="5" spans="1:7">
      <c r="A5" s="2" t="s">
        <v>418</v>
      </c>
      <c r="B5" s="3"/>
      <c r="C5" s="3"/>
      <c r="D5" s="3"/>
      <c r="E5" s="3"/>
      <c r="F5" s="3"/>
      <c r="G5" s="3"/>
    </row>
    <row r="6" spans="1:7">
      <c r="A6" s="2" t="s">
        <v>419</v>
      </c>
      <c r="B6" s="3"/>
      <c r="C6" s="3"/>
      <c r="D6" s="3"/>
      <c r="E6" s="3"/>
      <c r="F6" s="3"/>
      <c r="G6" s="3"/>
    </row>
    <row r="7" spans="1:7">
      <c r="A7" s="2" t="s">
        <v>420</v>
      </c>
      <c r="B7" s="3"/>
      <c r="C7" s="3"/>
      <c r="D7" s="3"/>
      <c r="E7" s="3"/>
      <c r="F7" s="3"/>
      <c r="G7" s="3"/>
    </row>
    <row r="8" spans="1:7">
      <c r="A8" s="2" t="s">
        <v>421</v>
      </c>
      <c r="B8" s="3"/>
      <c r="C8" s="3"/>
      <c r="D8" s="3"/>
      <c r="E8" s="3"/>
      <c r="F8" s="3"/>
      <c r="G8" s="3"/>
    </row>
    <row r="9" spans="1:7">
      <c r="A9" s="2" t="s">
        <v>422</v>
      </c>
      <c r="B9" s="3"/>
      <c r="C9" s="3"/>
      <c r="D9" s="3"/>
      <c r="E9" s="3"/>
      <c r="F9" s="3"/>
      <c r="G9" s="3"/>
    </row>
    <row r="10" spans="1:7">
      <c r="A10" s="2" t="s">
        <v>423</v>
      </c>
      <c r="B10" s="3"/>
      <c r="C10" s="3"/>
      <c r="D10" s="3"/>
      <c r="E10" s="3"/>
      <c r="F10" s="3"/>
      <c r="G10" s="3"/>
    </row>
    <row r="11" spans="1:7">
      <c r="A11" s="2" t="s">
        <v>424</v>
      </c>
      <c r="B11" s="3"/>
      <c r="C11" s="3"/>
      <c r="D11" s="3"/>
      <c r="E11" s="3"/>
      <c r="F11" s="3"/>
      <c r="G11" s="3"/>
    </row>
    <row r="12" spans="1:7">
      <c r="A12" s="2" t="s">
        <v>425</v>
      </c>
      <c r="B12" s="3"/>
      <c r="C12" s="3"/>
      <c r="D12" s="3"/>
      <c r="E12" s="3"/>
      <c r="F12" s="3"/>
      <c r="G12" s="3"/>
    </row>
    <row r="13" spans="1:7">
      <c r="A13" s="2" t="s">
        <v>426</v>
      </c>
      <c r="B13" s="3"/>
      <c r="C13" s="3"/>
      <c r="D13" s="3"/>
      <c r="E13" s="3"/>
      <c r="F13" s="3"/>
      <c r="G13" s="3"/>
    </row>
    <row r="14" spans="1:7">
      <c r="A14" s="2" t="s">
        <v>427</v>
      </c>
      <c r="B14" s="3"/>
      <c r="C14" s="3"/>
      <c r="D14" s="3"/>
      <c r="E14" s="3"/>
      <c r="F14" s="3"/>
      <c r="G14" s="3"/>
    </row>
    <row r="15" spans="1:7">
      <c r="A15" s="2" t="s">
        <v>428</v>
      </c>
      <c r="B15" s="3"/>
      <c r="C15" s="3"/>
      <c r="D15" s="3"/>
      <c r="E15" s="3"/>
      <c r="F15" s="3"/>
      <c r="G15" s="3"/>
    </row>
    <row r="16" spans="1:7">
      <c r="A16" s="2" t="s">
        <v>429</v>
      </c>
      <c r="B16" s="3"/>
      <c r="C16" s="3"/>
      <c r="D16" s="3"/>
      <c r="E16" s="3"/>
      <c r="F16" s="3"/>
      <c r="G16" s="3"/>
    </row>
    <row r="17" spans="1:7">
      <c r="A17" s="2" t="s">
        <v>430</v>
      </c>
      <c r="B17" s="3"/>
      <c r="C17" s="3"/>
      <c r="D17" s="3"/>
      <c r="E17" s="3"/>
      <c r="F17" s="3"/>
      <c r="G17" s="3"/>
    </row>
    <row r="18" spans="1:7">
      <c r="A18" s="2" t="s">
        <v>431</v>
      </c>
      <c r="B18" s="3"/>
      <c r="C18" s="3"/>
      <c r="D18" s="3"/>
      <c r="E18" s="3"/>
      <c r="F18" s="3"/>
      <c r="G18" s="3"/>
    </row>
    <row r="19" spans="1:7">
      <c r="A19" s="2" t="s">
        <v>432</v>
      </c>
      <c r="B19" s="3"/>
      <c r="C19" s="3"/>
      <c r="D19" s="3"/>
      <c r="E19" s="3"/>
      <c r="F19" s="3"/>
      <c r="G19" s="3"/>
    </row>
    <row r="20" spans="1:7">
      <c r="A20" s="2" t="s">
        <v>433</v>
      </c>
      <c r="B20" s="3"/>
      <c r="C20" s="3"/>
      <c r="D20" s="3"/>
      <c r="E20" s="3"/>
      <c r="F20" s="3"/>
      <c r="G20" s="3"/>
    </row>
    <row r="21" spans="1:7">
      <c r="A21" s="2" t="s">
        <v>434</v>
      </c>
      <c r="B21" s="3"/>
      <c r="C21" s="3"/>
      <c r="D21" s="3"/>
      <c r="E21" s="3"/>
      <c r="F21" s="3"/>
      <c r="G21" s="3"/>
    </row>
    <row r="22" spans="1:7">
      <c r="A22" s="2" t="s">
        <v>435</v>
      </c>
      <c r="B22" s="3"/>
      <c r="C22" s="3"/>
      <c r="D22" s="3"/>
      <c r="E22" s="3"/>
      <c r="F22" s="3"/>
      <c r="G22" s="3"/>
    </row>
    <row r="23" spans="1:7">
      <c r="A23" s="2" t="s">
        <v>436</v>
      </c>
      <c r="B23" s="3"/>
      <c r="C23" s="3"/>
      <c r="D23" s="3"/>
      <c r="E23" s="3"/>
      <c r="F23" s="3"/>
      <c r="G23" s="3"/>
    </row>
    <row r="24" spans="1:7">
      <c r="A24" s="2" t="s">
        <v>437</v>
      </c>
      <c r="B24" s="3"/>
      <c r="C24" s="3"/>
      <c r="D24" s="3"/>
      <c r="E24" s="3"/>
      <c r="F24" s="3"/>
      <c r="G24" s="3"/>
    </row>
    <row r="25" spans="1:7">
      <c r="A25" s="2" t="s">
        <v>438</v>
      </c>
      <c r="B25" s="3"/>
      <c r="C25" s="3"/>
      <c r="D25" s="3"/>
      <c r="E25" s="3"/>
      <c r="F25" s="3"/>
      <c r="G25" s="3"/>
    </row>
    <row r="26" spans="1:7">
      <c r="A26" s="2" t="s">
        <v>439</v>
      </c>
      <c r="B26" s="3"/>
      <c r="C26" s="3"/>
      <c r="D26" s="3"/>
      <c r="E26" s="3"/>
      <c r="F26" s="3"/>
      <c r="G26" s="3"/>
    </row>
    <row r="27" spans="1:7">
      <c r="A27" s="2" t="s">
        <v>440</v>
      </c>
      <c r="B27" s="3"/>
      <c r="C27" s="3"/>
      <c r="D27" s="3"/>
      <c r="E27" s="3"/>
      <c r="F27" s="3"/>
      <c r="G27" s="3"/>
    </row>
    <row r="28" spans="1:7">
      <c r="A28" s="2" t="s">
        <v>441</v>
      </c>
      <c r="B28" s="3"/>
      <c r="C28" s="3"/>
      <c r="D28" s="3"/>
      <c r="E28" s="3"/>
      <c r="F28" s="3"/>
      <c r="G28" s="3"/>
    </row>
    <row r="29" spans="1:7">
      <c r="A29" s="2" t="s">
        <v>442</v>
      </c>
      <c r="B29" s="3"/>
      <c r="C29" s="3"/>
      <c r="D29" s="3"/>
      <c r="E29" s="3"/>
      <c r="F29" s="3"/>
      <c r="G29" s="3"/>
    </row>
    <row r="30" spans="1:7">
      <c r="A30" s="2" t="s">
        <v>443</v>
      </c>
      <c r="B30" s="3"/>
      <c r="C30" s="3"/>
      <c r="D30" s="3"/>
      <c r="E30" s="3"/>
      <c r="F30" s="3"/>
      <c r="G30" s="3"/>
    </row>
    <row r="31" spans="1:7">
      <c r="A31" s="2" t="s">
        <v>444</v>
      </c>
      <c r="B31" s="3"/>
      <c r="C31" s="3"/>
      <c r="D31" s="3"/>
      <c r="E31" s="3"/>
      <c r="F31" s="3"/>
      <c r="G31" s="3"/>
    </row>
    <row r="32" spans="1:7">
      <c r="A32" s="2" t="s">
        <v>445</v>
      </c>
      <c r="B32" s="3"/>
      <c r="C32" s="3"/>
      <c r="D32" s="3"/>
      <c r="E32" s="3"/>
      <c r="F32" s="3"/>
      <c r="G32" s="3"/>
    </row>
    <row r="33" spans="1:7">
      <c r="A33" s="2" t="s">
        <v>446</v>
      </c>
      <c r="B33" s="3"/>
      <c r="C33" s="3"/>
      <c r="D33" s="3"/>
      <c r="E33" s="3"/>
      <c r="F33" s="3"/>
      <c r="G33" s="3"/>
    </row>
    <row r="34" spans="1:7">
      <c r="A34" s="2" t="s">
        <v>447</v>
      </c>
      <c r="B34" s="3"/>
      <c r="C34" s="3"/>
      <c r="D34" s="3"/>
      <c r="E34" s="3"/>
      <c r="F34" s="3"/>
      <c r="G34" s="3"/>
    </row>
    <row r="35" spans="1:7">
      <c r="A35" s="2" t="s">
        <v>448</v>
      </c>
      <c r="B35" s="3"/>
      <c r="C35" s="3"/>
      <c r="D35" s="3"/>
      <c r="E35" s="3"/>
      <c r="F35" s="3"/>
      <c r="G35" s="3"/>
    </row>
    <row r="36" spans="1:7">
      <c r="A36" s="2" t="s">
        <v>449</v>
      </c>
      <c r="B36" s="3"/>
      <c r="C36" s="3"/>
      <c r="D36" s="3"/>
      <c r="E36" s="3"/>
      <c r="F36" s="3"/>
      <c r="G36" s="3"/>
    </row>
    <row r="37" spans="1:7">
      <c r="A37" s="2" t="s">
        <v>450</v>
      </c>
      <c r="B37" s="3"/>
      <c r="C37" s="3"/>
      <c r="D37" s="3"/>
      <c r="E37" s="3"/>
      <c r="F37" s="3"/>
      <c r="G37" s="3"/>
    </row>
    <row r="38" spans="1:7">
      <c r="A38" s="2" t="s">
        <v>451</v>
      </c>
      <c r="B38" s="3"/>
      <c r="C38" s="3"/>
      <c r="D38" s="3"/>
      <c r="E38" s="3"/>
      <c r="F38" s="3"/>
      <c r="G38" s="3"/>
    </row>
    <row r="39" spans="1:7">
      <c r="A39" s="2" t="s">
        <v>452</v>
      </c>
      <c r="B39" s="3"/>
      <c r="C39" s="3"/>
      <c r="D39" s="3"/>
      <c r="E39" s="3"/>
      <c r="F39" s="3"/>
      <c r="G39" s="3"/>
    </row>
    <row r="40" spans="1:7">
      <c r="A40" s="2" t="s">
        <v>453</v>
      </c>
      <c r="B40" s="3"/>
      <c r="C40" s="3"/>
      <c r="D40" s="3"/>
      <c r="E40" s="3"/>
      <c r="F40" s="3"/>
      <c r="G40" s="3"/>
    </row>
    <row r="41" spans="1:7">
      <c r="A41" s="2" t="s">
        <v>454</v>
      </c>
      <c r="B41" s="3"/>
      <c r="C41" s="3"/>
      <c r="D41" s="3"/>
      <c r="E41" s="3"/>
      <c r="F41" s="3"/>
      <c r="G41" s="3"/>
    </row>
    <row r="42" spans="1:7">
      <c r="A42" s="2" t="s">
        <v>455</v>
      </c>
      <c r="B42" s="3"/>
      <c r="C42" s="3"/>
      <c r="D42" s="3"/>
      <c r="E42" s="3"/>
      <c r="F42" s="3"/>
      <c r="G42" s="3"/>
    </row>
    <row r="43" spans="1:7">
      <c r="A43" s="2" t="s">
        <v>456</v>
      </c>
      <c r="B43" s="3"/>
      <c r="C43" s="3"/>
      <c r="D43" s="3"/>
      <c r="E43" s="3"/>
      <c r="F43" s="3"/>
      <c r="G43" s="3"/>
    </row>
    <row r="44" spans="1:7">
      <c r="A44" s="2" t="s">
        <v>457</v>
      </c>
      <c r="B44" s="3"/>
      <c r="C44" s="3"/>
      <c r="D44" s="3"/>
      <c r="E44" s="3"/>
      <c r="F44" s="3"/>
      <c r="G44" s="3"/>
    </row>
    <row r="45" spans="1:7">
      <c r="A45" s="2" t="s">
        <v>458</v>
      </c>
      <c r="B45" s="3"/>
      <c r="C45" s="3"/>
      <c r="D45" s="3"/>
      <c r="E45" s="3"/>
      <c r="F45" s="3"/>
      <c r="G45" s="3"/>
    </row>
    <row r="46" spans="1:7">
      <c r="A46" s="2" t="s">
        <v>459</v>
      </c>
      <c r="B46" s="3"/>
      <c r="C46" s="3"/>
      <c r="D46" s="3"/>
      <c r="E46" s="3"/>
      <c r="F46" s="3"/>
      <c r="G46" s="3"/>
    </row>
    <row r="47" spans="1:7">
      <c r="A47" s="2" t="s">
        <v>460</v>
      </c>
      <c r="B47" s="3"/>
      <c r="C47" s="3"/>
      <c r="D47" s="3"/>
      <c r="E47" s="3"/>
      <c r="F47" s="3"/>
      <c r="G47" s="3"/>
    </row>
    <row r="48" spans="1:7">
      <c r="A48" s="2" t="s">
        <v>461</v>
      </c>
      <c r="B48" s="3"/>
      <c r="C48" s="3"/>
      <c r="D48" s="3"/>
      <c r="E48" s="3"/>
      <c r="F48" s="3"/>
      <c r="G48" s="3"/>
    </row>
    <row r="49" spans="1:7">
      <c r="A49" s="2" t="s">
        <v>462</v>
      </c>
      <c r="B49" s="3"/>
      <c r="C49" s="3"/>
      <c r="D49" s="3"/>
      <c r="E49" s="3"/>
      <c r="F49" s="3"/>
      <c r="G49" s="3"/>
    </row>
    <row r="50" spans="1:7">
      <c r="A50" s="2" t="s">
        <v>463</v>
      </c>
      <c r="B50" s="3"/>
      <c r="C50" s="3"/>
      <c r="D50" s="3"/>
      <c r="E50" s="3"/>
      <c r="F50" s="3"/>
      <c r="G50" s="3"/>
    </row>
    <row r="51" spans="1:7">
      <c r="A51" s="2" t="s">
        <v>464</v>
      </c>
      <c r="B51" s="3"/>
      <c r="C51" s="3"/>
      <c r="D51" s="3"/>
      <c r="E51" s="3"/>
      <c r="F51" s="3"/>
      <c r="G51" s="3"/>
    </row>
    <row r="52" spans="1:7">
      <c r="A52" s="2" t="s">
        <v>465</v>
      </c>
      <c r="B52" s="3"/>
      <c r="C52" s="3"/>
      <c r="D52" s="3"/>
      <c r="E52" s="3"/>
      <c r="F52" s="3"/>
      <c r="G52" s="3"/>
    </row>
    <row r="53" spans="1:7">
      <c r="A53" s="2" t="s">
        <v>466</v>
      </c>
      <c r="B53" s="3"/>
      <c r="C53" s="3"/>
      <c r="D53" s="3"/>
      <c r="E53" s="3"/>
      <c r="F53" s="3"/>
      <c r="G53" s="3"/>
    </row>
    <row r="54" spans="1:7">
      <c r="A54" s="2" t="s">
        <v>467</v>
      </c>
      <c r="B54" s="3"/>
      <c r="C54" s="3"/>
      <c r="D54" s="3"/>
      <c r="E54" s="3"/>
      <c r="F54" s="3"/>
      <c r="G54" s="3"/>
    </row>
  </sheetData>
  <autoFilter ref="A4:G54" xr:uid="{00000000-0009-0000-0000-000003000000}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5"/>
  <sheetData>
    <row r="1" spans="1:5">
      <c r="A1" t="s">
        <v>20</v>
      </c>
      <c r="B1" t="s">
        <v>212</v>
      </c>
      <c r="C1" t="s">
        <v>55</v>
      </c>
      <c r="D1" t="s">
        <v>72</v>
      </c>
      <c r="E1" t="s">
        <v>468</v>
      </c>
    </row>
    <row r="2" spans="1:5">
      <c r="A2" t="s">
        <v>469</v>
      </c>
      <c r="B2" t="s">
        <v>470</v>
      </c>
      <c r="C2" t="s">
        <v>471</v>
      </c>
      <c r="D2" t="s">
        <v>472</v>
      </c>
      <c r="E2" t="s">
        <v>473</v>
      </c>
    </row>
    <row r="3" spans="1:5">
      <c r="A3" t="s">
        <v>474</v>
      </c>
      <c r="B3" t="s">
        <v>475</v>
      </c>
      <c r="C3" t="s">
        <v>476</v>
      </c>
      <c r="D3" t="s">
        <v>477</v>
      </c>
      <c r="E3" t="s">
        <v>478</v>
      </c>
    </row>
    <row r="4" spans="1:5">
      <c r="A4" t="s">
        <v>479</v>
      </c>
      <c r="B4" t="s">
        <v>480</v>
      </c>
      <c r="C4" t="s">
        <v>481</v>
      </c>
      <c r="D4" t="s">
        <v>482</v>
      </c>
      <c r="E4" t="s">
        <v>483</v>
      </c>
    </row>
    <row r="5" spans="1:5">
      <c r="A5" t="s">
        <v>484</v>
      </c>
      <c r="C5" t="s">
        <v>485</v>
      </c>
      <c r="D5" t="s">
        <v>486</v>
      </c>
      <c r="E5" t="s">
        <v>487</v>
      </c>
    </row>
    <row r="6" spans="1:5">
      <c r="A6" t="s">
        <v>488</v>
      </c>
      <c r="C6" t="s">
        <v>489</v>
      </c>
      <c r="D6" t="s">
        <v>490</v>
      </c>
      <c r="E6" t="s">
        <v>491</v>
      </c>
    </row>
    <row r="7" spans="1:5">
      <c r="A7" t="s">
        <v>492</v>
      </c>
      <c r="C7" t="s">
        <v>480</v>
      </c>
      <c r="D7" t="s">
        <v>493</v>
      </c>
      <c r="E7" t="s">
        <v>494</v>
      </c>
    </row>
    <row r="8" spans="1:5">
      <c r="A8" t="s">
        <v>480</v>
      </c>
      <c r="D8" t="s">
        <v>480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c96585-65ee-4baf-b4c6-210171db6e5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9F404BDA2EBA40871A195F50724722" ma:contentTypeVersion="8" ma:contentTypeDescription="新しいドキュメントを作成します。" ma:contentTypeScope="" ma:versionID="0070eb4b8eb88773611649bc9970b4db">
  <xsd:schema xmlns:xsd="http://www.w3.org/2001/XMLSchema" xmlns:xs="http://www.w3.org/2001/XMLSchema" xmlns:p="http://schemas.microsoft.com/office/2006/metadata/properties" xmlns:ns2="1cc96585-65ee-4baf-b4c6-210171db6e5e" targetNamespace="http://schemas.microsoft.com/office/2006/metadata/properties" ma:root="true" ma:fieldsID="a10f52c0674b15850b90731c374877b2" ns2:_="">
    <xsd:import namespace="1cc96585-65ee-4baf-b4c6-210171db6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96585-65ee-4baf-b4c6-210171db6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AA6CF2-754C-4B67-A9EA-5F218603E87B}"/>
</file>

<file path=customXml/itemProps2.xml><?xml version="1.0" encoding="utf-8"?>
<ds:datastoreItem xmlns:ds="http://schemas.openxmlformats.org/officeDocument/2006/customXml" ds:itemID="{B05146FC-E111-467D-9C74-D790336DDD79}"/>
</file>

<file path=customXml/itemProps3.xml><?xml version="1.0" encoding="utf-8"?>
<ds:datastoreItem xmlns:ds="http://schemas.openxmlformats.org/officeDocument/2006/customXml" ds:itemID="{351B8D76-B0C2-4C1A-BBE3-AB45E30D02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島村 詠介/SHIMAMURA, EISUKE (nttdatacs)</cp:lastModifiedBy>
  <cp:revision/>
  <dcterms:created xsi:type="dcterms:W3CDTF">2026-09-08T10:35:15Z</dcterms:created>
  <dcterms:modified xsi:type="dcterms:W3CDTF">2026-09-14T06:19:20Z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0x010100E99F404BDA2EBA40871A195F50724722</vt:lpwstr>
  </property>
  <property fmtid="{D5CDD505-2E9C-101B-9397-08002B2CF9AE}" pid="3" name="MediaServiceImageTags">
    <vt:lpwstr/>
  </property>
</Properties>
</file>