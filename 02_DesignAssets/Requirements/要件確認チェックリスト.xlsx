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7="http://schemas.microsoft.com/office/spreadsheetml/2010/11/main" xmlns:r="http://schemas.openxmlformats.org/officeDocument/2006/relationships" ns1:Ignorable="x15 xr xr6 xr10 xr2">
  <fileVersion appName="xl" lastEdited="7" lowestEdited="7" rupBuild="30516"/>
  <workbookPr/>
  <ns2:revisionPtr revIDLastSave="0" documentId="11_0DEE47BFB3DB1CAD73658D2A0490698C5168B13B" ns3:coauthVersionLast="47" ns3:coauthVersionMax="47" ns4:uidLastSave="{00000000-0000-0000-0000-000000000000}"/>
  <bookViews>
    <workbookView xWindow="0" yWindow="0" windowWidth="0" windowHeight="0" ns5:uid="{00000000-000D-0000-FFFF-FFFF00000000}"/>
  </bookViews>
  <sheets>
    <sheet name="要件確認チェックリスト" sheetId="1" r:id="rId1"/>
    <sheet name="集計" sheetId="2" r:id="rId2"/>
    <sheet name="_Lists" sheetId="3" state="hidden" r:id="rId3"/>
  </sheets>
  <definedNames>
    <definedName name="_xlnm._FilterDatabase" localSheetId="0" hidden="1">要件確認チェックリスト!$A$4:$J$26</definedName>
    <definedName name="結果">_Lists!$A$2:$A$6</definedName>
    <definedName name="重要度">_Lists!$B$2:$B$4</definedName>
  </definedNames>
  <calcPr calcId="0" fullCalcOnLoad="1" calcMode="auto"/>
  <extLst>
    <ext uri="{140A7094-0E35-4892-8432-C4D2E57EDEB5}">
      <ns7:workbookPr chartTrackingRefBase="1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</calcChain>
</file>

<file path=xl/sharedStrings.xml><?xml version="1.0" encoding="utf-8"?>
<sst xmlns="http://schemas.openxmlformats.org/spreadsheetml/2006/main" count="175" uniqueCount="125">
  <si>
    <t>要件確認チェックリスト</t>
  </si>
  <si>
    <t>各確認項目について、確認結果、根拠、指摘内容、対応状況を記録します。</t>
  </si>
  <si>
    <t>チェックID</t>
  </si>
  <si>
    <t>工程</t>
  </si>
  <si>
    <t>分類</t>
  </si>
  <si>
    <t>確認項目</t>
  </si>
  <si>
    <t>確認基準</t>
  </si>
  <si>
    <t>重要度</t>
  </si>
  <si>
    <t>結果</t>
  </si>
  <si>
    <t>根拠・参照先</t>
  </si>
  <si>
    <t>指摘・未決事項</t>
  </si>
  <si>
    <t>担当・対応期限</t>
  </si>
  <si>
    <t>CHK-001</t>
  </si>
  <si>
    <t>要件定義</t>
  </si>
  <si>
    <t>基本情報</t>
  </si>
  <si>
    <t>案件名・対象範囲が明確</t>
  </si>
  <si>
    <t>対象システム、拠点、ネットワーク領域が特定されている</t>
  </si>
  <si>
    <t>高</t>
  </si>
  <si>
    <t>CHK-002</t>
  </si>
  <si>
    <t>ステークホルダー</t>
  </si>
  <si>
    <t>責任者と承認者が明確</t>
  </si>
  <si>
    <t>顧客、設計、構築、運用の責任者が記載されている</t>
  </si>
  <si>
    <t>CHK-003</t>
  </si>
  <si>
    <t>現行環境</t>
  </si>
  <si>
    <t>現行構成と課題を把握</t>
  </si>
  <si>
    <t>現行図、IP、VLAN、回線、機器、Configの所在が明確</t>
  </si>
  <si>
    <t>CHK-004</t>
  </si>
  <si>
    <t>拠点</t>
  </si>
  <si>
    <t>全拠点が登録済み</t>
  </si>
  <si>
    <t>拠点ID、利用規模、回線、重要度が入力されている</t>
  </si>
  <si>
    <t>CHK-005</t>
  </si>
  <si>
    <t>通信</t>
  </si>
  <si>
    <t>主要通信フローが登録済み</t>
  </si>
  <si>
    <t>送信元、宛先、ポート、許可/拒否、NATが明確</t>
  </si>
  <si>
    <t>CHK-006</t>
  </si>
  <si>
    <t>アドレス</t>
  </si>
  <si>
    <t>IPアドレス方針が明確</t>
  </si>
  <si>
    <t>重複回避、予約範囲、拡張余地が定義されている</t>
  </si>
  <si>
    <t>CHK-007</t>
  </si>
  <si>
    <t>VLAN</t>
  </si>
  <si>
    <t>VLAN用途と採番方針が明確</t>
  </si>
  <si>
    <t>利用者、サーバ、管理、音声、無線等が整理されている</t>
  </si>
  <si>
    <t>CHK-008</t>
  </si>
  <si>
    <t>Routing</t>
  </si>
  <si>
    <t>経路制御要件が明確</t>
  </si>
  <si>
    <t>Static/OSPF/BGP/VRF、集約、デフォルト経路が整理されている</t>
  </si>
  <si>
    <t>CHK-009</t>
  </si>
  <si>
    <t>可用性</t>
  </si>
  <si>
    <t>SLAと冗長化要件が明確</t>
  </si>
  <si>
    <t>機器、回線、電源、経路の冗長化と切替条件が定義</t>
  </si>
  <si>
    <t>CHK-010</t>
  </si>
  <si>
    <t>性能</t>
  </si>
  <si>
    <t>帯域・遅延・損失要件が明確</t>
  </si>
  <si>
    <t>通常時、ピーク時、将来増加を考慮している</t>
  </si>
  <si>
    <t>中</t>
  </si>
  <si>
    <t>CHK-011</t>
  </si>
  <si>
    <t>Security</t>
  </si>
  <si>
    <t>ゾーンと通信制御方針が明確</t>
  </si>
  <si>
    <t>最小権限、管理経路、NAT、脅威対策が整理されている</t>
  </si>
  <si>
    <t>CHK-012</t>
  </si>
  <si>
    <t>認証</t>
  </si>
  <si>
    <t>管理者認証要件が明確</t>
  </si>
  <si>
    <t>AAA、MFA、権限、非常用アカウントが定義されている</t>
  </si>
  <si>
    <t>CHK-013</t>
  </si>
  <si>
    <t>監視</t>
  </si>
  <si>
    <t>監視対象・閾値・通知先が明確</t>
  </si>
  <si>
    <t>死活、性能、IF、ルーティング、HA、ログが対象</t>
  </si>
  <si>
    <t>CHK-014</t>
  </si>
  <si>
    <t>ログ</t>
  </si>
  <si>
    <t>ログ保管と時刻同期が明確</t>
  </si>
  <si>
    <t>Syslog、保存期間、NTP、監査要件が定義されている</t>
  </si>
  <si>
    <t>CHK-015</t>
  </si>
  <si>
    <t>保守</t>
  </si>
  <si>
    <t>バックアップ・復旧要件が明確</t>
  </si>
  <si>
    <t>取得頻度、保管先、復旧試験、保守契約が明確</t>
  </si>
  <si>
    <t>CHK-016</t>
  </si>
  <si>
    <t>移行</t>
  </si>
  <si>
    <t>切替条件と停止時間が明確</t>
  </si>
  <si>
    <t>切替日時、許容停止、依存作業、体制が定義されている</t>
  </si>
  <si>
    <t>CHK-017</t>
  </si>
  <si>
    <t>ロールバック</t>
  </si>
  <si>
    <t>切戻し条件が明確</t>
  </si>
  <si>
    <t>判断基準、期限、手順、データ整合性が定義されている</t>
  </si>
  <si>
    <t>CHK-018</t>
  </si>
  <si>
    <t>製品</t>
  </si>
  <si>
    <t>機種・バージョン条件が明確</t>
  </si>
  <si>
    <t>EoL/EoS、ライセンス、機能対応、互換性を確認</t>
  </si>
  <si>
    <t>CHK-019</t>
  </si>
  <si>
    <t>規程</t>
  </si>
  <si>
    <t>適用標準・規程が明確</t>
  </si>
  <si>
    <t>社内規程、顧客標準、法令、契約条件を特定</t>
  </si>
  <si>
    <t>CHK-020</t>
  </si>
  <si>
    <t>成果物</t>
  </si>
  <si>
    <t>必要成果物と承認条件が明確</t>
  </si>
  <si>
    <t>設計書、図、パラメータ、Config、試験、運用を特定</t>
  </si>
  <si>
    <t>CHK-021</t>
  </si>
  <si>
    <t>設計着手判定</t>
  </si>
  <si>
    <t>未決事項</t>
  </si>
  <si>
    <t>重大な未決事項がない</t>
  </si>
  <si>
    <t>高重要度の未決事項が0件、または承認済み例外</t>
  </si>
  <si>
    <t>CHK-022</t>
  </si>
  <si>
    <t>トレーサビリティ</t>
  </si>
  <si>
    <t>要件IDで追跡可能</t>
  </si>
  <si>
    <t>設計・パラメータ・Config・試験へ要件IDを連携可能</t>
  </si>
  <si>
    <t>確認結果集計</t>
  </si>
  <si>
    <t>チェックリストの結果を集計します。</t>
  </si>
  <si>
    <t>指標</t>
  </si>
  <si>
    <t>件数</t>
  </si>
  <si>
    <t>判定</t>
  </si>
  <si>
    <t>備考</t>
  </si>
  <si>
    <t>全項目</t>
  </si>
  <si>
    <t>-</t>
  </si>
  <si>
    <t>適合</t>
  </si>
  <si>
    <t>不適合</t>
  </si>
  <si>
    <t>0</t>
  </si>
  <si>
    <t>是正が必要</t>
  </si>
  <si>
    <t>未確認</t>
  </si>
  <si>
    <t>確認が必要</t>
  </si>
  <si>
    <t>高重要度の不適合</t>
  </si>
  <si>
    <t>設計着手前に解消または例外承認</t>
  </si>
  <si>
    <t>総合判定</t>
  </si>
  <si>
    <t>設計着手可</t>
  </si>
  <si>
    <t>条件付き適合</t>
  </si>
  <si>
    <t>低</t>
  </si>
  <si>
    <t>対象外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</si>
</sst>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sz val="10"/>
      <color rgb="FF666666"/>
      <name val="Calibri"/>
    </font>
    <font>
      <sz val="10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3" customWidth="1"/>
    <col min="2" max="3" width="16" customWidth="1"/>
    <col min="4" max="4" width="30" customWidth="1"/>
    <col min="5" max="5" width="48" customWidth="1"/>
    <col min="6" max="6" width="12" customWidth="1"/>
    <col min="7" max="7" width="14" customWidth="1"/>
    <col min="8" max="8" width="32" customWidth="1"/>
    <col min="9" max="9" width="38" customWidth="1"/>
    <col min="10" max="10" width="25" customWidth="1"/>
  </cols>
  <sheetData>
    <row r="1" spans="1:10" ht="27.95" customHeight="1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30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</row>
    <row r="4" spans="1:10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3"/>
      <c r="H5" s="3"/>
      <c r="I5" s="3"/>
      <c r="J5" s="3"/>
    </row>
    <row r="6" spans="1:10">
      <c r="A6" s="2" t="s">
        <v>18</v>
      </c>
      <c r="B6" s="2" t="s">
        <v>13</v>
      </c>
      <c r="C6" s="2" t="s">
        <v>19</v>
      </c>
      <c r="D6" s="2" t="s">
        <v>20</v>
      </c>
      <c r="E6" s="2" t="s">
        <v>21</v>
      </c>
      <c r="F6" s="2" t="s">
        <v>17</v>
      </c>
      <c r="G6" s="3"/>
      <c r="H6" s="3"/>
      <c r="I6" s="3"/>
      <c r="J6" s="3"/>
    </row>
    <row r="7" spans="1:10">
      <c r="A7" s="2" t="s">
        <v>22</v>
      </c>
      <c r="B7" s="2" t="s">
        <v>13</v>
      </c>
      <c r="C7" s="2" t="s">
        <v>23</v>
      </c>
      <c r="D7" s="2" t="s">
        <v>24</v>
      </c>
      <c r="E7" s="2" t="s">
        <v>25</v>
      </c>
      <c r="F7" s="2" t="s">
        <v>17</v>
      </c>
      <c r="G7" s="3"/>
      <c r="H7" s="3"/>
      <c r="I7" s="3"/>
      <c r="J7" s="3"/>
    </row>
    <row r="8" spans="1:10">
      <c r="A8" s="2" t="s">
        <v>26</v>
      </c>
      <c r="B8" s="2" t="s">
        <v>13</v>
      </c>
      <c r="C8" s="2" t="s">
        <v>27</v>
      </c>
      <c r="D8" s="2" t="s">
        <v>28</v>
      </c>
      <c r="E8" s="2" t="s">
        <v>29</v>
      </c>
      <c r="F8" s="2" t="s">
        <v>17</v>
      </c>
      <c r="G8" s="3"/>
      <c r="H8" s="3"/>
      <c r="I8" s="3"/>
      <c r="J8" s="3"/>
    </row>
    <row r="9" spans="1:10">
      <c r="A9" s="2" t="s">
        <v>30</v>
      </c>
      <c r="B9" s="2" t="s">
        <v>13</v>
      </c>
      <c r="C9" s="2" t="s">
        <v>31</v>
      </c>
      <c r="D9" s="2" t="s">
        <v>32</v>
      </c>
      <c r="E9" s="2" t="s">
        <v>33</v>
      </c>
      <c r="F9" s="2" t="s">
        <v>17</v>
      </c>
      <c r="G9" s="3"/>
      <c r="H9" s="3"/>
      <c r="I9" s="3"/>
      <c r="J9" s="3"/>
    </row>
    <row r="10" spans="1:10">
      <c r="A10" s="2" t="s">
        <v>34</v>
      </c>
      <c r="B10" s="2" t="s">
        <v>13</v>
      </c>
      <c r="C10" s="2" t="s">
        <v>35</v>
      </c>
      <c r="D10" s="2" t="s">
        <v>36</v>
      </c>
      <c r="E10" s="2" t="s">
        <v>37</v>
      </c>
      <c r="F10" s="2" t="s">
        <v>17</v>
      </c>
      <c r="G10" s="3"/>
      <c r="H10" s="3"/>
      <c r="I10" s="3"/>
      <c r="J10" s="3"/>
    </row>
    <row r="11" spans="1:10">
      <c r="A11" s="2" t="s">
        <v>38</v>
      </c>
      <c r="B11" s="2" t="s">
        <v>13</v>
      </c>
      <c r="C11" s="2" t="s">
        <v>39</v>
      </c>
      <c r="D11" s="2" t="s">
        <v>40</v>
      </c>
      <c r="E11" s="2" t="s">
        <v>41</v>
      </c>
      <c r="F11" s="2" t="s">
        <v>17</v>
      </c>
      <c r="G11" s="3"/>
      <c r="H11" s="3"/>
      <c r="I11" s="3"/>
      <c r="J11" s="3"/>
    </row>
    <row r="12" spans="1:10">
      <c r="A12" s="2" t="s">
        <v>42</v>
      </c>
      <c r="B12" s="2" t="s">
        <v>13</v>
      </c>
      <c r="C12" s="2" t="s">
        <v>43</v>
      </c>
      <c r="D12" s="2" t="s">
        <v>44</v>
      </c>
      <c r="E12" s="2" t="s">
        <v>45</v>
      </c>
      <c r="F12" s="2" t="s">
        <v>17</v>
      </c>
      <c r="G12" s="3"/>
      <c r="H12" s="3"/>
      <c r="I12" s="3"/>
      <c r="J12" s="3"/>
    </row>
    <row r="13" spans="1:10">
      <c r="A13" s="2" t="s">
        <v>46</v>
      </c>
      <c r="B13" s="2" t="s">
        <v>13</v>
      </c>
      <c r="C13" s="2" t="s">
        <v>47</v>
      </c>
      <c r="D13" s="2" t="s">
        <v>48</v>
      </c>
      <c r="E13" s="2" t="s">
        <v>49</v>
      </c>
      <c r="F13" s="2" t="s">
        <v>17</v>
      </c>
      <c r="G13" s="3"/>
      <c r="H13" s="3"/>
      <c r="I13" s="3"/>
      <c r="J13" s="3"/>
    </row>
    <row r="14" spans="1:10">
      <c r="A14" s="2" t="s">
        <v>50</v>
      </c>
      <c r="B14" s="2" t="s">
        <v>13</v>
      </c>
      <c r="C14" s="2" t="s">
        <v>51</v>
      </c>
      <c r="D14" s="2" t="s">
        <v>52</v>
      </c>
      <c r="E14" s="2" t="s">
        <v>53</v>
      </c>
      <c r="F14" s="2" t="s">
        <v>54</v>
      </c>
      <c r="G14" s="3"/>
      <c r="H14" s="3"/>
      <c r="I14" s="3"/>
      <c r="J14" s="3"/>
    </row>
    <row r="15" spans="1:10">
      <c r="A15" s="2" t="s">
        <v>55</v>
      </c>
      <c r="B15" s="2" t="s">
        <v>13</v>
      </c>
      <c r="C15" s="2" t="s">
        <v>56</v>
      </c>
      <c r="D15" s="2" t="s">
        <v>57</v>
      </c>
      <c r="E15" s="2" t="s">
        <v>58</v>
      </c>
      <c r="F15" s="2" t="s">
        <v>17</v>
      </c>
      <c r="G15" s="3"/>
      <c r="H15" s="3"/>
      <c r="I15" s="3"/>
      <c r="J15" s="3"/>
    </row>
    <row r="16" spans="1:10">
      <c r="A16" s="2" t="s">
        <v>59</v>
      </c>
      <c r="B16" s="2" t="s">
        <v>13</v>
      </c>
      <c r="C16" s="2" t="s">
        <v>60</v>
      </c>
      <c r="D16" s="2" t="s">
        <v>61</v>
      </c>
      <c r="E16" s="2" t="s">
        <v>62</v>
      </c>
      <c r="F16" s="2" t="s">
        <v>17</v>
      </c>
      <c r="G16" s="3"/>
      <c r="H16" s="3"/>
      <c r="I16" s="3"/>
      <c r="J16" s="3"/>
    </row>
    <row r="17" spans="1:10">
      <c r="A17" s="2" t="s">
        <v>63</v>
      </c>
      <c r="B17" s="2" t="s">
        <v>13</v>
      </c>
      <c r="C17" s="2" t="s">
        <v>64</v>
      </c>
      <c r="D17" s="2" t="s">
        <v>65</v>
      </c>
      <c r="E17" s="2" t="s">
        <v>66</v>
      </c>
      <c r="F17" s="2" t="s">
        <v>54</v>
      </c>
      <c r="G17" s="3"/>
      <c r="H17" s="3"/>
      <c r="I17" s="3"/>
      <c r="J17" s="3"/>
    </row>
    <row r="18" spans="1:10">
      <c r="A18" s="2" t="s">
        <v>67</v>
      </c>
      <c r="B18" s="2" t="s">
        <v>13</v>
      </c>
      <c r="C18" s="2" t="s">
        <v>68</v>
      </c>
      <c r="D18" s="2" t="s">
        <v>69</v>
      </c>
      <c r="E18" s="2" t="s">
        <v>70</v>
      </c>
      <c r="F18" s="2" t="s">
        <v>17</v>
      </c>
      <c r="G18" s="3"/>
      <c r="H18" s="3"/>
      <c r="I18" s="3"/>
      <c r="J18" s="3"/>
    </row>
    <row r="19" spans="1:10">
      <c r="A19" s="2" t="s">
        <v>71</v>
      </c>
      <c r="B19" s="2" t="s">
        <v>13</v>
      </c>
      <c r="C19" s="2" t="s">
        <v>72</v>
      </c>
      <c r="D19" s="2" t="s">
        <v>73</v>
      </c>
      <c r="E19" s="2" t="s">
        <v>74</v>
      </c>
      <c r="F19" s="2" t="s">
        <v>54</v>
      </c>
      <c r="G19" s="3"/>
      <c r="H19" s="3"/>
      <c r="I19" s="3"/>
      <c r="J19" s="3"/>
    </row>
    <row r="20" spans="1:10">
      <c r="A20" s="2" t="s">
        <v>75</v>
      </c>
      <c r="B20" s="2" t="s">
        <v>13</v>
      </c>
      <c r="C20" s="2" t="s">
        <v>76</v>
      </c>
      <c r="D20" s="2" t="s">
        <v>77</v>
      </c>
      <c r="E20" s="2" t="s">
        <v>78</v>
      </c>
      <c r="F20" s="2" t="s">
        <v>17</v>
      </c>
      <c r="G20" s="3"/>
      <c r="H20" s="3"/>
      <c r="I20" s="3"/>
      <c r="J20" s="3"/>
    </row>
    <row r="21" spans="1:10">
      <c r="A21" s="2" t="s">
        <v>79</v>
      </c>
      <c r="B21" s="2" t="s">
        <v>13</v>
      </c>
      <c r="C21" s="2" t="s">
        <v>80</v>
      </c>
      <c r="D21" s="2" t="s">
        <v>81</v>
      </c>
      <c r="E21" s="2" t="s">
        <v>82</v>
      </c>
      <c r="F21" s="2" t="s">
        <v>17</v>
      </c>
      <c r="G21" s="3"/>
      <c r="H21" s="3"/>
      <c r="I21" s="3"/>
      <c r="J21" s="3"/>
    </row>
    <row r="22" spans="1:10">
      <c r="A22" s="2" t="s">
        <v>83</v>
      </c>
      <c r="B22" s="2" t="s">
        <v>13</v>
      </c>
      <c r="C22" s="2" t="s">
        <v>84</v>
      </c>
      <c r="D22" s="2" t="s">
        <v>85</v>
      </c>
      <c r="E22" s="2" t="s">
        <v>86</v>
      </c>
      <c r="F22" s="2" t="s">
        <v>17</v>
      </c>
      <c r="G22" s="3"/>
      <c r="H22" s="3"/>
      <c r="I22" s="3"/>
      <c r="J22" s="3"/>
    </row>
    <row r="23" spans="1:10">
      <c r="A23" s="2" t="s">
        <v>87</v>
      </c>
      <c r="B23" s="2" t="s">
        <v>13</v>
      </c>
      <c r="C23" s="2" t="s">
        <v>88</v>
      </c>
      <c r="D23" s="2" t="s">
        <v>89</v>
      </c>
      <c r="E23" s="2" t="s">
        <v>90</v>
      </c>
      <c r="F23" s="2" t="s">
        <v>17</v>
      </c>
      <c r="G23" s="3"/>
      <c r="H23" s="3"/>
      <c r="I23" s="3"/>
      <c r="J23" s="3"/>
    </row>
    <row r="24" spans="1:10">
      <c r="A24" s="2" t="s">
        <v>91</v>
      </c>
      <c r="B24" s="2" t="s">
        <v>13</v>
      </c>
      <c r="C24" s="2" t="s">
        <v>92</v>
      </c>
      <c r="D24" s="2" t="s">
        <v>93</v>
      </c>
      <c r="E24" s="2" t="s">
        <v>94</v>
      </c>
      <c r="F24" s="2" t="s">
        <v>54</v>
      </c>
      <c r="G24" s="3"/>
      <c r="H24" s="3"/>
      <c r="I24" s="3"/>
      <c r="J24" s="3"/>
    </row>
    <row r="25" spans="1:10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17</v>
      </c>
      <c r="G25" s="3"/>
      <c r="H25" s="3"/>
      <c r="I25" s="3"/>
      <c r="J25" s="3"/>
    </row>
    <row r="26" spans="1:10">
      <c r="A26" s="2" t="s">
        <v>100</v>
      </c>
      <c r="B26" s="2" t="s">
        <v>96</v>
      </c>
      <c r="C26" s="2" t="s">
        <v>101</v>
      </c>
      <c r="D26" s="2" t="s">
        <v>102</v>
      </c>
      <c r="E26" s="2" t="s">
        <v>103</v>
      </c>
      <c r="F26" s="2" t="s">
        <v>17</v>
      </c>
      <c r="G26" s="3"/>
      <c r="H26" s="3"/>
      <c r="I26" s="3"/>
      <c r="J26" s="3"/>
    </row>
  </sheetData>
  <autoFilter ref="A4:J26" xr:uid="{00000000-0009-0000-0000-000000000000}"/>
  <mergeCells count="2">
    <mergeCell ref="A1:J1"/>
    <mergeCell ref="A2:J2"/>
  </mergeCells>
  <dataValidations count="2">
    <dataValidation type="list" allowBlank="1" showInputMessage="1" showErrorMessage="1" errorTitle="入力エラー" error="一覧から選択してください。" promptTitle="入力候補" prompt="候補から選択してください。" sqref="G5:G100" xr:uid="{00000000-0002-0000-0000-000000000000}">
      <formula1>結果</formula1>
    </dataValidation>
    <dataValidation type="list" allowBlank="1" showInputMessage="1" showErrorMessage="1" errorTitle="入力エラー" error="一覧から選択してください。" promptTitle="入力候補" prompt="候補から選択してください。" sqref="F5:F100" xr:uid="{00000000-0002-0000-0000-000001000000}">
      <formula1>重要度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100-000000000000}">
  <dimension ref="A1:D10"/>
  <sheetViews>
    <sheetView showGridLines="0" workbookViewId="0"/>
  </sheetViews>
  <sheetFormatPr defaultRowHeight="15"/>
  <cols>
    <col min="1" max="1" width="26" customWidth="1"/>
    <col min="2" max="2" width="15" customWidth="1"/>
    <col min="3" max="3" width="18" customWidth="1"/>
    <col min="4" max="4" width="45" customWidth="1"/>
  </cols>
  <sheetData>
    <row r="1" spans="1:4" ht="27.95" customHeight="1">
      <c r="A1" s="4" t="s">
        <v>104</v>
      </c>
      <c r="B1" s="6"/>
      <c r="C1" s="6"/>
      <c r="D1" s="6"/>
    </row>
    <row r="2" spans="1:4" ht="30" customHeight="1">
      <c r="A2" s="5" t="inlineStr">
        <is>
          <t>現行22件（5〜26行）を集計。項目追加時は数式の参照範囲も更新。</t>
        </is>
      </c>
      <c r="B2" s="6"/>
      <c r="C2" s="6"/>
      <c r="D2" s="6"/>
    </row>
    <row r="4" spans="1:4" ht="27.95" customHeight="1">
      <c r="A4" s="1" t="s">
        <v>106</v>
      </c>
      <c r="B4" s="1" t="s">
        <v>107</v>
      </c>
      <c r="C4" s="1" t="s">
        <v>108</v>
      </c>
      <c r="D4" s="1" t="s">
        <v>109</v>
      </c>
    </row>
    <row r="5" spans="1:4">
      <c r="A5" s="2" t="s">
        <v>110</v>
      </c>
      <c r="B5" s="2">
        <f>COUNTA('要件確認チェックリスト'!A5:A26)</f>
        <v>22</v>
      </c>
      <c r="C5" s="2" t="s">
        <v>111</v>
      </c>
      <c r="D5" s="2"/>
    </row>
    <row r="6" spans="1:4">
      <c r="A6" s="2" t="inlineStr">
        <is>
          <t>根拠記入済みの適合</t>
        </is>
      </c>
      <c r="B6" s="2">
        <f>COUNTIFS('要件確認チェックリスト'!G5:G26,"適合",'要件確認チェックリスト'!H5:H26,"&lt;&gt;")</f>
        <v>0</v>
      </c>
      <c r="C6" s="2" t="s">
        <v>111</v>
      </c>
      <c r="D6" s="2"/>
    </row>
    <row r="7" spans="1:4">
      <c r="A7" s="2" t="s">
        <v>113</v>
      </c>
      <c r="B7" s="2">
        <f>COUNTIF('要件確認チェックリスト'!G5:G26,"不適合")</f>
        <v>0</v>
      </c>
      <c r="C7" s="2" t="s">
        <v>114</v>
      </c>
      <c r="D7" s="2" t="s">
        <v>115</v>
      </c>
    </row>
    <row r="8" spans="1:4">
      <c r="A8" s="2" t="inlineStr">
        <is>
          <t>未確認・条件付き等</t>
        </is>
      </c>
      <c r="B8" s="2">
        <f>B5-B6-B7</f>
        <v>22</v>
      </c>
      <c r="C8" s="2" t="s">
        <v>114</v>
      </c>
      <c r="D8" s="2" t="inlineStr">
        <is>
          <t>空欄・条件付き・対象外・根拠なしを含む</t>
        </is>
      </c>
    </row>
    <row r="9" spans="1:4">
      <c r="A9" s="2" t="s">
        <v>118</v>
      </c>
      <c r="B9" s="2">
        <f>COUNTIFS('要件確認チェックリスト'!F5:F26,"高",'要件確認チェックリスト'!G5:G26,"不適合")</f>
        <v>0</v>
      </c>
      <c r="C9" s="2" t="s">
        <v>114</v>
      </c>
      <c r="D9" s="2" t="s">
        <v>119</v>
      </c>
    </row>
    <row r="10" spans="1:4">
      <c r="A10" s="2" t="s">
        <v>120</v>
      </c>
      <c r="B10" s="2" t="str">
        <f>IF(OR(B5=0,B7&gt;0,B8&gt;0),"要対応","人のレビュー待ち")</f>
        <v>要対応</v>
      </c>
      <c r="C10" s="2" t="inlineStr">
        <is>
          <t>人のレビュー待ち</t>
        </is>
      </c>
      <c r="D10" s="2" t="inlineStr">
        <is>
          <t>適合のみでも人の承認は別途必要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/>
  <sheetData>
    <row r="1" spans="1:2">
      <c r="A1" t="s">
        <v>8</v>
      </c>
      <c r="B1" t="s">
        <v>7</v>
      </c>
    </row>
    <row r="2" spans="1:2">
      <c r="A2" t="s">
        <v>112</v>
      </c>
      <c r="B2" t="s">
        <v>17</v>
      </c>
    </row>
    <row r="3" spans="1:2">
      <c r="A3" t="s">
        <v>122</v>
      </c>
      <c r="B3" t="s">
        <v>54</v>
      </c>
    </row>
    <row r="4" spans="1:2">
      <c r="A4" t="s">
        <v>113</v>
      </c>
      <c r="B4" t="s">
        <v>123</v>
      </c>
    </row>
    <row r="5" spans="1:2">
      <c r="A5" t="s">
        <v>124</v>
      </c>
    </row>
    <row r="6" spans="1:2">
      <c r="A6" t="s">
        <v>116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c96585-65ee-4baf-b4c6-210171db6e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9F404BDA2EBA40871A195F50724722" ma:contentTypeVersion="8" ma:contentTypeDescription="新しいドキュメントを作成します。" ma:contentTypeScope="" ma:versionID="0070eb4b8eb88773611649bc9970b4db">
  <xsd:schema xmlns:xsd="http://www.w3.org/2001/XMLSchema" xmlns:xs="http://www.w3.org/2001/XMLSchema" xmlns:p="http://schemas.microsoft.com/office/2006/metadata/properties" xmlns:ns2="1cc96585-65ee-4baf-b4c6-210171db6e5e" targetNamespace="http://schemas.microsoft.com/office/2006/metadata/properties" ma:root="true" ma:fieldsID="a10f52c0674b15850b90731c374877b2" ns2:_="">
    <xsd:import namespace="1cc96585-65ee-4baf-b4c6-210171db6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96585-65ee-4baf-b4c6-210171db6e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01BDD9-5D66-4D72-85C5-7C2DD439FEC1}"/>
</file>

<file path=customXml/itemProps2.xml><?xml version="1.0" encoding="utf-8"?>
<ds:datastoreItem xmlns:ds="http://schemas.openxmlformats.org/officeDocument/2006/customXml" ds:itemID="{80C6FC2A-19A1-4C55-BA94-953EE31A7364}"/>
</file>

<file path=customXml/itemProps3.xml><?xml version="1.0" encoding="utf-8"?>
<ds:datastoreItem xmlns:ds="http://schemas.openxmlformats.org/officeDocument/2006/customXml" ds:itemID="{EF0F82C5-8BCF-41EC-93AE-08F62AE158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橋田 倫明/HASHIDA, TOMOAKI (nttdatacs)</cp:lastModifiedBy>
  <cp:revision/>
  <dcterms:created xsi:type="dcterms:W3CDTF">2026-09-08T10:35:21Z</dcterms:created>
  <dcterms:modified xsi:type="dcterms:W3CDTF">2026-09-24T02:56:15Z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0x010100E99F404BDA2EBA40871A195F50724722</vt:lpwstr>
  </property>
  <property fmtid="{D5CDD505-2E9C-101B-9397-08002B2CF9AE}" pid="3" name="MediaServiceImageTags">
    <vt:lpwstr/>
  </property>
</Properties>
</file>