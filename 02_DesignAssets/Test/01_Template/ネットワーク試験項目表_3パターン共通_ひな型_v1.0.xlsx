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01e87fd4f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用案内" sheetId="1" r:id="Rd35927370aca42a2"/>
    <x:sheet xmlns:r="http://schemas.openxmlformats.org/officeDocument/2006/relationships" name="試験定義" sheetId="2" r:id="R784fa93f61e74ad0"/>
    <x:sheet xmlns:r="http://schemas.openxmlformats.org/officeDocument/2006/relationships" name="実施記録" sheetId="3" r:id="Rd334017997a14c9f"/>
    <x:sheet xmlns:r="http://schemas.openxmlformats.org/officeDocument/2006/relationships" name="要件対応" sheetId="4" r:id="R27e838d0dfaf4f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263746"/>
      <x:name val="Yu Gothic"/>
    </x:font>
    <x:font>
      <x:sz val="10"/>
      <x:color rgb="FF526474"/>
      <x:name val="Yu Gothic"/>
    </x:font>
    <x:font>
      <x:sz val="11"/>
      <x:color rgb="FF263746"/>
      <x:name val="Yu Gothic"/>
    </x:font>
    <x:font>
      <x:b/>
      <x:sz val="11"/>
      <x:color rgb="FFFFFFFF"/>
      <x:name val="Yu Gothic"/>
    </x:font>
    <x:font>
      <x:sz val="10"/>
      <x:color rgb="FF263746"/>
      <x:name val="Yu Gothic"/>
    </x:font>
    <x:font>
      <x:b/>
      <x:sz val="10"/>
      <x:color rgb="FFFFFFFF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34E70"/>
      </x:patternFill>
    </x:fill>
    <x:fill>
      <x:patternFill patternType="solid">
        <x:fgColor rgb="FFFFF6DB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3c30c93d8443e" /><Relationship Type="http://schemas.openxmlformats.org/officeDocument/2006/relationships/theme" Target="/xl/theme/theme1.xml" Id="R6d914a4de3014019" /><Relationship Type="http://schemas.openxmlformats.org/officeDocument/2006/relationships/sharedStrings" Target="/xl/sharedStrings.xml" Id="R8a72e323ff6144b4" /><Relationship Type="http://schemas.openxmlformats.org/officeDocument/2006/relationships/worksheet" Target="/xl/worksheets/sheet1.xml" Id="Rd35927370aca42a2" /><Relationship Type="http://schemas.openxmlformats.org/officeDocument/2006/relationships/worksheet" Target="/xl/worksheets/sheet2.xml" Id="R784fa93f61e74ad0" /><Relationship Type="http://schemas.openxmlformats.org/officeDocument/2006/relationships/worksheet" Target="/xl/worksheets/sheet3.xml" Id="Rd334017997a14c9f" /><Relationship Type="http://schemas.openxmlformats.org/officeDocument/2006/relationships/worksheet" Target="/xl/worksheets/sheet4.xml" Id="R27e838d0dfaf4f2c" /></Relationships>
</file>

<file path=xl/tables/table1.xml><?xml version="1.0" encoding="utf-8"?>
<x:table xmlns:x="http://schemas.openxmlformats.org/spreadsheetml/2006/main" id="1" name="T16" displayName="T16" ref="A6:Q42" headerRowCount="1" totalsRowCount="0" totalsRowShown="0">
  <x:tableColumns count="17">
    <x:tableColumn id="1" name="TC-ID"/>
    <x:tableColumn id="2" name="分類"/>
    <x:tableColumn id="3" name="適用パターン候補"/>
    <x:tableColumn id="4" name="環境"/>
    <x:tableColumn id="5" name="適用判断"/>
    <x:tableColumn id="6" name="REQ-ID"/>
    <x:tableColumn id="7" name="対象ID"/>
    <x:tableColumn id="8" name="確認事項"/>
    <x:tableColumn id="9" name="開始条件"/>
    <x:tableColumn id="10" name="手順"/>
    <x:tableColumn id="11" name="期待結果"/>
    <x:tableColumn id="12" name="閾値"/>
    <x:tableColumn id="13" name="単位"/>
    <x:tableColumn id="14" name="証跡取得方法"/>
    <x:tableColumn id="15" name="根拠SRC-ID"/>
    <x:tableColumn id="16" name="対象外理由"/>
    <x:tableColumn id="17" name="定義確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7" displayName="T17" ref="A6:L106" headerRowCount="1" totalsRowCount="0" totalsRowShown="0">
  <x:tableColumns count="12">
    <x:tableColumn id="1" name="RUN-ID"/>
    <x:tableColumn id="2" name="TC-ID"/>
    <x:tableColumn id="3" name="設計・Config版"/>
    <x:tableColumn id="4" name="実施日時"/>
    <x:tableColumn id="5" name="実施者"/>
    <x:tableColumn id="6" name="実測・確認内容"/>
    <x:tableColumn id="7" name="結果"/>
    <x:tableColumn id="8" name="証跡URL・位置"/>
    <x:tableColumn id="9" name="ISS-ID"/>
    <x:tableColumn id="10" name="最終採用"/>
    <x:tableColumn id="11" name="レビュー記録ID"/>
    <x:tableColumn id="12" name="記録確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18" displayName="T18" ref="A6:G56" headerRowCount="1" totalsRowCount="0" totalsRowShown="0">
  <x:tableColumns count="7">
    <x:tableColumn id="1" name="REQ-ID"/>
    <x:tableColumn id="2" name="優先度"/>
    <x:tableColumn id="3" name="要件・受入条件"/>
    <x:tableColumn id="4" name="対応TC-ID"/>
    <x:tableColumn id="5" name="対象外理由"/>
    <x:tableColumn id="6" name="レビュー記録ID"/>
    <x:tableColumn id="7" name="対応確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d7f68749d34d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86ad6e6fcc4d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69494982fa4a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8" customHeight="1">
      <x:c r="A1" s="2" t="str">
        <x:v>ネットワーク 試験項目表</x:v>
      </x:c>
    </x:row>
    <x:row r="2" ht="23" customHeight="1">
      <x:c r="A2" s="5" t="str">
        <x:v>試験定義・要件対応・実施記録を分け、未実施と対象外を合格から区別します。</x:v>
      </x:c>
    </x:row>
    <x:row r="3" ht="23" customHeight="1"/>
    <x:row r="5" ht="27" customHeight="1">
      <x:c r="A5" s="8" t="str">
        <x:v>管理項目</x:v>
      </x:c>
      <x:c r="B5" s="8" t="str">
        <x:v>記入欄</x:v>
      </x:c>
      <x:c r="C5" s="6"/>
      <x:c r="D5" s="10" t="str">
        <x:v>試験定義の候補から対象を選び、要件ID・対象・閾値・根拠を補って使用します。</x:v>
      </x:c>
      <x:c r="E5" s="6"/>
      <x:c r="F5" s="6"/>
      <x:c r="G5" s="6"/>
      <x:c r="H5" s="6"/>
    </x:row>
    <x:row r="6" ht="27" customHeight="1">
      <x:c r="A6" s="6" t="str">
        <x:v>案件名</x:v>
      </x:c>
      <x:c r="B6" s="9"/>
      <x:c r="C6" s="6"/>
      <x:c r="D6" s="6"/>
      <x:c r="E6" s="6"/>
      <x:c r="F6" s="6"/>
      <x:c r="G6" s="6"/>
      <x:c r="H6" s="6"/>
    </x:row>
    <x:row r="7" ht="27" customHeight="1">
      <x:c r="A7" s="6" t="str">
        <x:v>案件ID</x:v>
      </x:c>
      <x:c r="B7" s="9"/>
      <x:c r="C7" s="6"/>
      <x:c r="D7" s="6"/>
      <x:c r="E7" s="6"/>
      <x:c r="F7" s="6"/>
      <x:c r="G7" s="6"/>
      <x:c r="H7" s="6"/>
    </x:row>
    <x:row r="8" ht="27" customHeight="1">
      <x:c r="A8" s="6" t="str">
        <x:v>設計・モデル版</x:v>
      </x:c>
      <x:c r="B8" s="9"/>
      <x:c r="C8" s="6"/>
      <x:c r="D8" s="10" t="str">
        <x:v>P01/P02/P03は併用可。AWS/Azureの未使用項目は理由を付けて対象外にします。</x:v>
      </x:c>
      <x:c r="E8" s="6"/>
      <x:c r="F8" s="6"/>
      <x:c r="G8" s="6"/>
      <x:c r="H8" s="6"/>
    </x:row>
    <x:row r="9" ht="27" customHeight="1">
      <x:c r="A9" s="6" t="str">
        <x:v>試験設計書版</x:v>
      </x:c>
      <x:c r="B9" s="9"/>
      <x:c r="C9" s="6"/>
      <x:c r="D9" s="6"/>
      <x:c r="E9" s="6"/>
      <x:c r="F9" s="6"/>
      <x:c r="G9" s="6"/>
      <x:c r="H9" s="6"/>
    </x:row>
    <x:row r="10" ht="27" customHeight="1">
      <x:c r="A10" s="6" t="str">
        <x:v>対象パターン</x:v>
      </x:c>
      <x:c r="B10" s="9"/>
      <x:c r="C10" s="6"/>
      <x:c r="D10" s="6"/>
      <x:c r="E10" s="6"/>
      <x:c r="F10" s="6"/>
      <x:c r="G10" s="6"/>
      <x:c r="H10" s="6"/>
    </x:row>
    <x:row r="11" ht="27" customHeight="1">
      <x:c r="A11" s="6" t="str">
        <x:v>対象環境</x:v>
      </x:c>
      <x:c r="B11" s="9"/>
      <x:c r="C11" s="6"/>
      <x:c r="D11" s="10" t="str">
        <x:v>実施記録は1回ごとにRUN-IDを採番。再試験時も前の実績を削除しません。</x:v>
      </x:c>
      <x:c r="E11" s="6"/>
      <x:c r="F11" s="6"/>
      <x:c r="G11" s="6"/>
      <x:c r="H11" s="6"/>
    </x:row>
    <x:row r="12" ht="27" customHeight="1">
      <x:c r="A12" s="6" t="str">
        <x:v>レビュー記録ID</x:v>
      </x:c>
      <x:c r="B12" s="9"/>
      <x:c r="C12" s="6"/>
      <x:c r="D12" s="6"/>
      <x:c r="E12" s="6"/>
      <x:c r="F12" s="6"/>
      <x:c r="G12" s="6"/>
      <x:c r="H12" s="6"/>
    </x:row>
    <x:row r="13" ht="27" customHeight="1">
      <x:c r="A13" s="6"/>
      <x:c r="B13" s="6"/>
      <x:c r="C13" s="6"/>
      <x:c r="D13" s="6"/>
      <x:c r="E13" s="6"/>
      <x:c r="F13" s="6"/>
      <x:c r="G13" s="6"/>
      <x:c r="H13" s="6"/>
    </x:row>
    <x:row r="14" ht="27" customHeight="1">
      <x:c r="A14" s="6"/>
      <x:c r="B14" s="6"/>
      <x:c r="C14" s="6"/>
      <x:c r="D14" s="10" t="str">
        <x:v>合格には実測・証跡が必要です。自動確認は証跡の内容までは評価しません。</x:v>
      </x:c>
      <x:c r="E14" s="6"/>
      <x:c r="F14" s="6"/>
      <x:c r="G14" s="6"/>
      <x:c r="H14" s="6"/>
    </x:row>
    <x:row r="15" ht="27" customHeight="1">
      <x:c r="A15" s="6"/>
      <x:c r="B15" s="6"/>
      <x:c r="C15" s="6"/>
      <x:c r="D15" s="6"/>
      <x:c r="E15" s="6"/>
      <x:c r="F15" s="6"/>
      <x:c r="G15" s="6"/>
      <x:c r="H15" s="6"/>
    </x:row>
    <x:row r="16" ht="27" customHeight="1">
      <x:c r="A16" s="8" t="str">
        <x:v>確認項目</x:v>
      </x:c>
      <x:c r="B16" s="8" t="str">
        <x:v>件数</x:v>
      </x:c>
      <x:c r="C16" s="6"/>
      <x:c r="D16" s="6"/>
      <x:c r="E16" s="6"/>
      <x:c r="F16" s="6"/>
      <x:c r="G16" s="6"/>
      <x:c r="H16" s="6"/>
    </x:row>
    <x:row r="17" ht="27" customHeight="1">
      <x:c r="A17" s="6" t="str">
        <x:v>試験観点候補</x:v>
      </x:c>
      <x:c r="B17" s="6" t="n">
        <x:f>COUNTA('試験定義'!A7:A42)</x:f>
        <x:v>36</x:v>
      </x:c>
      <x:c r="C17" s="6"/>
      <x:c r="D17" s="10" t="str">
        <x:v>要件対応はREQ-IDごとに定義します。TC-IDが存在しても網羅性の承認とは別です。</x:v>
      </x:c>
      <x:c r="E17" s="6"/>
      <x:c r="F17" s="6"/>
      <x:c r="G17" s="6"/>
      <x:c r="H17" s="6"/>
    </x:row>
    <x:row r="18" ht="27" customHeight="1">
      <x:c r="A18" s="6" t="str">
        <x:v>適用未判定</x:v>
      </x:c>
      <x:c r="B18" s="6" t="n">
        <x:f>COUNTIF('試験定義'!E7:E42,"未判定")</x:f>
        <x:v>36</x:v>
      </x:c>
      <x:c r="C18" s="6"/>
      <x:c r="D18" s="6"/>
      <x:c r="E18" s="6"/>
      <x:c r="F18" s="6"/>
      <x:c r="G18" s="6"/>
      <x:c r="H18" s="6"/>
    </x:row>
    <x:row r="19" ht="27" customHeight="1">
      <x:c r="A19" s="6" t="str">
        <x:v>定義未完</x:v>
      </x:c>
      <x:c r="B19" s="6" t="n">
        <x:f>COUNTIF('試験定義'!Q7:Q42,"定義未完")</x:f>
        <x:v>36</x:v>
      </x:c>
      <x:c r="C19" s="6"/>
      <x:c r="D19" s="6"/>
      <x:c r="E19" s="6"/>
      <x:c r="F19" s="6"/>
      <x:c r="G19" s="6"/>
      <x:c r="H19" s="6"/>
    </x:row>
    <x:row r="20" ht="27" customHeight="1">
      <x:c r="A20" s="6" t="str">
        <x:v>実施記録</x:v>
      </x:c>
      <x:c r="B20" s="6" t="n">
        <x:f>COUNTA('実施記録'!A7:A106)</x:f>
        <x:v>0</x:v>
      </x:c>
      <x:c r="C20" s="6"/>
      <x:c r="D20" s="10" t="str">
        <x:v>試験定義の追加時は表・確認式・集計範囲を更新します。実施記録は100行です。</x:v>
      </x:c>
      <x:c r="E20" s="6"/>
      <x:c r="F20" s="6"/>
      <x:c r="G20" s="6"/>
      <x:c r="H20" s="6"/>
    </x:row>
    <x:row r="21" ht="27" customHeight="1">
      <x:c r="A21" s="6" t="str">
        <x:v>最終採用の合格</x:v>
      </x:c>
      <x:c r="B21" s="6" t="n">
        <x:f>COUNTIFS('実施記録'!G7:G106,"合格",'実施記録'!J7:J106,"はい",'実施記録'!L7:L106,"レビュー記録あり")</x:f>
        <x:v>0</x:v>
      </x:c>
      <x:c r="C21" s="6"/>
      <x:c r="D21" s="6"/>
      <x:c r="E21" s="6"/>
      <x:c r="F21" s="6"/>
      <x:c r="G21" s="6"/>
      <x:c r="H21" s="6"/>
    </x:row>
    <x:row r="22" ht="27" customHeight="1">
      <x:c r="A22" s="6" t="str">
        <x:v>未解決記録</x:v>
      </x:c>
      <x:c r="B22" s="6" t="n">
        <x:f>B20-COUNTIF('実施記録'!L7:L106,"レビュー記録あり")</x:f>
        <x:v>0</x:v>
      </x:c>
      <x:c r="C22" s="6"/>
      <x:c r="D22" s="6"/>
      <x:c r="E22" s="6"/>
      <x:c r="F22" s="6"/>
      <x:c r="G22" s="6"/>
      <x:c r="H22" s="6"/>
    </x:row>
    <x:row r="23" ht="27" customHeight="1">
      <x:c r="A23" s="6"/>
      <x:c r="B23" s="6"/>
      <x:c r="C23" s="6"/>
      <x:c r="D23" s="6"/>
      <x:c r="E23" s="6"/>
      <x:c r="F23" s="6"/>
      <x:c r="G23" s="6"/>
      <x:c r="H23" s="6"/>
    </x:row>
    <x:row r="24" ht="27" customHeight="1">
      <x:c r="A24" s="6"/>
      <x:c r="B24" s="6"/>
      <x:c r="C24" s="6"/>
      <x:c r="D24" s="6"/>
      <x:c r="E24" s="6"/>
      <x:c r="F24" s="6"/>
      <x:c r="G24" s="6"/>
      <x:c r="H24" s="6"/>
    </x:row>
    <x:row r="25" ht="27" customHeight="1">
      <x:c r="A25" s="10" t="str">
        <x:v>合格件数だけで終了判定しません。必須要件の網羅、未実施、対象外、重大不適合と対象版を試験設計書に従い確認します。</x:v>
      </x:c>
      <x:c r="B25" s="6"/>
      <x:c r="C25" s="6"/>
      <x:c r="D25" s="6"/>
      <x:c r="E25" s="6"/>
      <x:c r="F25" s="6"/>
      <x:c r="G25" s="6"/>
      <x:c r="H25" s="6"/>
    </x:row>
    <x:row r="26" ht="27" customHeight="1">
      <x:c r="A26" s="6"/>
      <x:c r="B26" s="6"/>
      <x:c r="C26" s="6"/>
      <x:c r="D26" s="6"/>
      <x:c r="E26" s="6"/>
      <x:c r="F26" s="6"/>
      <x:c r="G26" s="6"/>
      <x:c r="H26" s="6"/>
    </x:row>
    <x:row r="27" ht="27" customHeight="1">
      <x:c r="A27" s="6"/>
      <x:c r="B27" s="6"/>
      <x:c r="C27" s="6"/>
      <x:c r="D27" s="6"/>
      <x:c r="E27" s="6"/>
      <x:c r="F27" s="6"/>
      <x:c r="G27" s="6"/>
      <x:c r="H27" s="6"/>
    </x:row>
    <x:row r="28" ht="27" customHeight="1">
      <x:c r="A28" s="6"/>
      <x:c r="B28" s="6"/>
      <x:c r="C28" s="6"/>
      <x:c r="D28" s="6"/>
      <x:c r="E28" s="6"/>
      <x:c r="F28" s="6"/>
      <x:c r="G28" s="6"/>
      <x:c r="H28" s="6"/>
    </x:row>
    <x:row r="29" ht="27" customHeight="1">
      <x:c r="A29" s="6"/>
      <x:c r="B29" s="6"/>
      <x:c r="C29" s="6"/>
      <x:c r="D29" s="6"/>
      <x:c r="E29" s="6"/>
      <x:c r="F29" s="6"/>
      <x:c r="G29" s="6"/>
      <x:c r="H29" s="6"/>
    </x:row>
    <x:row r="30" ht="27" customHeight="1">
      <x:c r="A30" s="6"/>
      <x:c r="B30" s="6"/>
      <x:c r="C30" s="6"/>
      <x:c r="D30" s="6"/>
      <x:c r="E30" s="6"/>
      <x:c r="F30" s="6"/>
      <x:c r="G30" s="6"/>
      <x:c r="H30" s="6"/>
    </x:row>
  </x:sheetData>
  <x:mergeCells>
    <x:mergeCell ref="A2:H3"/>
    <x:mergeCell ref="D5:H7"/>
    <x:mergeCell ref="D8:H10"/>
    <x:mergeCell ref="D11:H13"/>
    <x:mergeCell ref="D14:H16"/>
    <x:mergeCell ref="D17:H19"/>
    <x:mergeCell ref="D20:H22"/>
    <x:mergeCell ref="A25:C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19" hidden="0" customWidth="1"/>
    <x:col min="13" max="13" width="19" hidden="0" customWidth="1"/>
    <x:col min="14" max="14" width="42" hidden="0" customWidth="1"/>
    <x:col min="15" max="15" width="19" hidden="0" customWidth="1"/>
    <x:col min="16" max="16" width="19" hidden="0" customWidth="1"/>
    <x:col min="17" max="17" width="19" hidden="0" customWidth="1"/>
  </x:cols>
  <x:sheetData>
    <x:row r="1" ht="38" customHeight="1">
      <x:c r="A1" s="2" t="str">
        <x:v>試験定義</x:v>
      </x:c>
    </x:row>
    <x:row r="2" ht="23" customHeight="1">
      <x:c r="A2" s="5" t="str">
        <x:v>36件の観点候補。適用・要件・対象・判定基準・証跡を補完。定性試験の閾値は「期待結果に一致」、単位は「適用なし」と記入。</x:v>
      </x:c>
    </x:row>
    <x:row r="3" ht="23" customHeight="1"/>
    <x:row r="6" ht="44" customHeight="1">
      <x:c r="A6" s="16" t="str">
        <x:v>TC-ID</x:v>
      </x:c>
      <x:c r="B6" s="16" t="str">
        <x:v>分類</x:v>
      </x:c>
      <x:c r="C6" s="16" t="str">
        <x:v>適用パターン候補</x:v>
      </x:c>
      <x:c r="D6" s="16" t="str">
        <x:v>環境</x:v>
      </x:c>
      <x:c r="E6" s="16" t="str">
        <x:v>適用判断</x:v>
      </x:c>
      <x:c r="F6" s="16" t="str">
        <x:v>REQ-ID</x:v>
      </x:c>
      <x:c r="G6" s="16" t="str">
        <x:v>対象ID</x:v>
      </x:c>
      <x:c r="H6" s="16" t="str">
        <x:v>確認事項</x:v>
      </x:c>
      <x:c r="I6" s="16" t="str">
        <x:v>開始条件</x:v>
      </x:c>
      <x:c r="J6" s="16" t="str">
        <x:v>手順</x:v>
      </x:c>
      <x:c r="K6" s="16" t="str">
        <x:v>期待結果</x:v>
      </x:c>
      <x:c r="L6" s="16" t="str">
        <x:v>閾値</x:v>
      </x:c>
      <x:c r="M6" s="16" t="str">
        <x:v>単位</x:v>
      </x:c>
      <x:c r="N6" s="16" t="str">
        <x:v>証跡取得方法</x:v>
      </x:c>
      <x:c r="O6" s="16" t="str">
        <x:v>根拠SRC-ID</x:v>
      </x:c>
      <x:c r="P6" s="16" t="str">
        <x:v>対象外理由</x:v>
      </x:c>
      <x:c r="Q6" s="16" t="str">
        <x:v>定義確認</x:v>
      </x:c>
    </x:row>
    <x:row r="7" ht="66" customHeight="1">
      <x:c r="A7" s="17" t="str">
        <x:v>TC-COM-001</x:v>
      </x:c>
      <x:c r="B7" s="17" t="str">
        <x:v>基本通信</x:v>
      </x:c>
      <x:c r="C7" s="17" t="str">
        <x:v>全て</x:v>
      </x:c>
      <x:c r="D7" s="17" t="str">
        <x:v>共通</x:v>
      </x:c>
      <x:c r="E7" s="17" t="str">
        <x:v>未判定</x:v>
      </x:c>
      <x:c r="F7" s="17"/>
      <x:c r="G7" s="17"/>
      <x:c r="H7" s="18" t="str">
        <x:v>許可通信</x:v>
      </x:c>
      <x:c r="I7" s="18"/>
      <x:c r="J7" s="18" t="str">
        <x:v>送信元から指定protocol/portで接続し両端ログを採取</x:v>
      </x:c>
      <x:c r="K7" s="18" t="str">
        <x:v>許可された通信だけが成立</x:v>
      </x:c>
      <x:c r="L7" s="17"/>
      <x:c r="M7" s="17"/>
      <x:c r="N7" s="18"/>
      <x:c r="O7" s="17"/>
      <x:c r="P7" s="17"/>
      <x:c r="Q7" s="17" t="str">
        <x:f>IF(E7="対象外",IF(LEN(TRIM(P7&amp;""))=0,"理由未記入","対象外・要レビュー"),IF(OR(E7&lt;&gt;"対象",F7="",G7="",I7="",L7="",M7="",N7="",O7=""),"定義未完","レビュー待ち"))</x:f>
        <x:v>定義未完</x:v>
      </x:c>
    </x:row>
    <x:row r="8" ht="66" customHeight="1">
      <x:c r="A8" s="17" t="str">
        <x:v>TC-COM-002</x:v>
      </x:c>
      <x:c r="B8" s="17" t="str">
        <x:v>拒否通信</x:v>
      </x:c>
      <x:c r="C8" s="17" t="str">
        <x:v>全て</x:v>
      </x:c>
      <x:c r="D8" s="17" t="str">
        <x:v>共通</x:v>
      </x:c>
      <x:c r="E8" s="17" t="str">
        <x:v>未判定</x:v>
      </x:c>
      <x:c r="F8" s="17"/>
      <x:c r="G8" s="17"/>
      <x:c r="H8" s="18" t="str">
        <x:v>未許可通信</x:v>
      </x:c>
      <x:c r="I8" s="18"/>
      <x:c r="J8" s="18" t="str">
        <x:v>禁止送信元/portで通信を試行し適用点のログを採取</x:v>
      </x:c>
      <x:c r="K8" s="18" t="str">
        <x:v>通信が拒否され意図したログが記録される</x:v>
      </x:c>
      <x:c r="L8" s="17"/>
      <x:c r="M8" s="17"/>
      <x:c r="N8" s="18"/>
      <x:c r="O8" s="17"/>
      <x:c r="P8" s="17"/>
      <x:c r="Q8" s="17" t="str">
        <x:f>IF(E8="対象外",IF(LEN(TRIM(P8&amp;""))=0,"理由未記入","対象外・要レビュー"),IF(OR(E8&lt;&gt;"対象",F8="",G8="",I8="",L8="",M8="",N8="",O8=""),"定義未完","レビュー待ち"))</x:f>
        <x:v>定義未完</x:v>
      </x:c>
    </x:row>
    <x:row r="9" ht="66" customHeight="1">
      <x:c r="A9" s="17" t="str">
        <x:v>TC-COM-003</x:v>
      </x:c>
      <x:c r="B9" s="17" t="str">
        <x:v>L2</x:v>
      </x:c>
      <x:c r="C9" s="17" t="str">
        <x:v>P01/P02</x:v>
      </x:c>
      <x:c r="D9" s="17" t="str">
        <x:v>オンプレミス</x:v>
      </x:c>
      <x:c r="E9" s="17" t="str">
        <x:v>未判定</x:v>
      </x:c>
      <x:c r="F9" s="17"/>
      <x:c r="G9" s="17"/>
      <x:c r="H9" s="18" t="str">
        <x:v>VLANとport</x:v>
      </x:c>
      <x:c r="I9" s="18"/>
      <x:c r="J9" s="18" t="str">
        <x:v>access/trunkの許可VLANと疎通を確認</x:v>
      </x:c>
      <x:c r="K9" s="18" t="str">
        <x:v>指定VLANのみ疎通し他VLANが混入しない</x:v>
      </x:c>
      <x:c r="L9" s="17"/>
      <x:c r="M9" s="17"/>
      <x:c r="N9" s="18"/>
      <x:c r="O9" s="17"/>
      <x:c r="P9" s="17"/>
      <x:c r="Q9" s="17" t="str">
        <x:f>IF(E9="対象外",IF(LEN(TRIM(P9&amp;""))=0,"理由未記入","対象外・要レビュー"),IF(OR(E9&lt;&gt;"対象",F9="",G9="",I9="",L9="",M9="",N9="",O9=""),"定義未完","レビュー待ち"))</x:f>
        <x:v>定義未完</x:v>
      </x:c>
    </x:row>
    <x:row r="10" ht="66" customHeight="1">
      <x:c r="A10" s="17" t="str">
        <x:v>TC-COM-004</x:v>
      </x:c>
      <x:c r="B10" s="17" t="str">
        <x:v>L3</x:v>
      </x:c>
      <x:c r="C10" s="17" t="str">
        <x:v>全て</x:v>
      </x:c>
      <x:c r="D10" s="17" t="str">
        <x:v>共通</x:v>
      </x:c>
      <x:c r="E10" s="17" t="str">
        <x:v>未判定</x:v>
      </x:c>
      <x:c r="F10" s="17"/>
      <x:c r="G10" s="17"/>
      <x:c r="H10" s="18" t="str">
        <x:v>経路と戻り</x:v>
      </x:c>
      <x:c r="I10" s="18"/>
      <x:c r="J10" s="18" t="str">
        <x:v>両方向の経路・広告prefix・優先を確認</x:v>
      </x:c>
      <x:c r="K10" s="18" t="str">
        <x:v>設計経路で往復し意図しない経路漏れがない</x:v>
      </x:c>
      <x:c r="L10" s="17"/>
      <x:c r="M10" s="17"/>
      <x:c r="N10" s="18"/>
      <x:c r="O10" s="17"/>
      <x:c r="P10" s="17"/>
      <x:c r="Q10" s="17" t="str">
        <x:f>IF(E10="対象外",IF(LEN(TRIM(P10&amp;""))=0,"理由未記入","対象外・要レビュー"),IF(OR(E10&lt;&gt;"対象",F10="",G10="",I10="",L10="",M10="",N10="",O10=""),"定義未完","レビュー待ち"))</x:f>
        <x:v>定義未完</x:v>
      </x:c>
    </x:row>
    <x:row r="11" ht="66" customHeight="1">
      <x:c r="A11" s="17" t="str">
        <x:v>TC-COM-005</x:v>
      </x:c>
      <x:c r="B11" s="17" t="str">
        <x:v>アドレス</x:v>
      </x:c>
      <x:c r="C11" s="17" t="str">
        <x:v>全て</x:v>
      </x:c>
      <x:c r="D11" s="17" t="str">
        <x:v>共通</x:v>
      </x:c>
      <x:c r="E11" s="17" t="str">
        <x:v>未判定</x:v>
      </x:c>
      <x:c r="F11" s="17"/>
      <x:c r="G11" s="17"/>
      <x:c r="H11" s="18" t="str">
        <x:v>IPとDHCP</x:v>
      </x:c>
      <x:c r="I11" s="18"/>
      <x:c r="J11" s="18" t="str">
        <x:v>固定/動的割当とgateway/DNS、重複検知を確認</x:v>
      </x:c>
      <x:c r="K11" s="18" t="str">
        <x:v>割当範囲・予約・gatewayが台帳と一致</x:v>
      </x:c>
      <x:c r="L11" s="17"/>
      <x:c r="M11" s="17"/>
      <x:c r="N11" s="18"/>
      <x:c r="O11" s="17"/>
      <x:c r="P11" s="17"/>
      <x:c r="Q11" s="17" t="str">
        <x:f>IF(E11="対象外",IF(LEN(TRIM(P11&amp;""))=0,"理由未記入","対象外・要レビュー"),IF(OR(E11&lt;&gt;"対象",F11="",G11="",I11="",L11="",M11="",N11="",O11=""),"定義未完","レビュー待ち"))</x:f>
        <x:v>定義未完</x:v>
      </x:c>
    </x:row>
    <x:row r="12" ht="66" customHeight="1">
      <x:c r="A12" s="17" t="str">
        <x:v>TC-COM-006</x:v>
      </x:c>
      <x:c r="B12" s="17" t="str">
        <x:v>NAT</x:v>
      </x:c>
      <x:c r="C12" s="17" t="str">
        <x:v>全て</x:v>
      </x:c>
      <x:c r="D12" s="17" t="str">
        <x:v>共通</x:v>
      </x:c>
      <x:c r="E12" s="17" t="str">
        <x:v>未判定</x:v>
      </x:c>
      <x:c r="F12" s="17"/>
      <x:c r="G12" s="17"/>
      <x:c r="H12" s="18" t="str">
        <x:v>変換と除外</x:v>
      </x:c>
      <x:c r="I12" s="18"/>
      <x:c r="J12" s="18" t="str">
        <x:v>変換対象・対象外を発生させ両方向の変換表を確認</x:v>
      </x:c>
      <x:c r="K12" s="18" t="str">
        <x:v>設計した変換/除外が成立</x:v>
      </x:c>
      <x:c r="L12" s="17"/>
      <x:c r="M12" s="17"/>
      <x:c r="N12" s="18"/>
      <x:c r="O12" s="17"/>
      <x:c r="P12" s="17"/>
      <x:c r="Q12" s="17" t="str">
        <x:f>IF(E12="対象外",IF(LEN(TRIM(P12&amp;""))=0,"理由未記入","対象外・要レビュー"),IF(OR(E12&lt;&gt;"対象",F12="",G12="",I12="",L12="",M12="",N12="",O12=""),"定義未完","レビュー待ち"))</x:f>
        <x:v>定義未完</x:v>
      </x:c>
    </x:row>
    <x:row r="13" ht="66" customHeight="1">
      <x:c r="A13" s="17" t="str">
        <x:v>TC-COM-007</x:v>
      </x:c>
      <x:c r="B13" s="17" t="str">
        <x:v>DNS</x:v>
      </x:c>
      <x:c r="C13" s="17" t="str">
        <x:v>全て</x:v>
      </x:c>
      <x:c r="D13" s="17" t="str">
        <x:v>共通</x:v>
      </x:c>
      <x:c r="E13" s="17" t="str">
        <x:v>未判定</x:v>
      </x:c>
      <x:c r="F13" s="17"/>
      <x:c r="G13" s="17"/>
      <x:c r="H13" s="18" t="str">
        <x:v>正逆引きと転送</x:v>
      </x:c>
      <x:c r="I13" s="18"/>
      <x:c r="J13" s="18" t="str">
        <x:v>拠点とクラウド双方から業務名・private名を解決</x:v>
      </x:c>
      <x:c r="K13" s="18" t="str">
        <x:v>意図した応答を返し転送ループがない</x:v>
      </x:c>
      <x:c r="L13" s="17"/>
      <x:c r="M13" s="17"/>
      <x:c r="N13" s="18"/>
      <x:c r="O13" s="17"/>
      <x:c r="P13" s="17"/>
      <x:c r="Q13" s="17" t="str">
        <x:f>IF(E13="対象外",IF(LEN(TRIM(P13&amp;""))=0,"理由未記入","対象外・要レビュー"),IF(OR(E13&lt;&gt;"対象",F13="",G13="",I13="",L13="",M13="",N13="",O13=""),"定義未完","レビュー待ち"))</x:f>
        <x:v>定義未完</x:v>
      </x:c>
    </x:row>
    <x:row r="14" ht="66" customHeight="1">
      <x:c r="A14" s="17" t="str">
        <x:v>TC-COM-008</x:v>
      </x:c>
      <x:c r="B14" s="17" t="str">
        <x:v>時刻</x:v>
      </x:c>
      <x:c r="C14" s="17" t="str">
        <x:v>全て</x:v>
      </x:c>
      <x:c r="D14" s="17" t="str">
        <x:v>共通</x:v>
      </x:c>
      <x:c r="E14" s="17" t="str">
        <x:v>未判定</x:v>
      </x:c>
      <x:c r="F14" s="17"/>
      <x:c r="G14" s="17"/>
      <x:c r="H14" s="18" t="str">
        <x:v>NTP同期</x:v>
      </x:c>
      <x:c r="I14" s="18"/>
      <x:c r="J14" s="18" t="str">
        <x:v>同期先・時刻差・ログ時刻を確認</x:v>
      </x:c>
      <x:c r="K14" s="18" t="str">
        <x:v>許容時刻差内で証跡を突合できる</x:v>
      </x:c>
      <x:c r="L14" s="17"/>
      <x:c r="M14" s="17"/>
      <x:c r="N14" s="18"/>
      <x:c r="O14" s="17"/>
      <x:c r="P14" s="17"/>
      <x:c r="Q14" s="17" t="str">
        <x:f>IF(E14="対象外",IF(LEN(TRIM(P14&amp;""))=0,"理由未記入","対象外・要レビュー"),IF(OR(E14&lt;&gt;"対象",F14="",G14="",I14="",L14="",M14="",N14="",O14=""),"定義未完","レビュー待ち"))</x:f>
        <x:v>定義未完</x:v>
      </x:c>
    </x:row>
    <x:row r="15" ht="66" customHeight="1">
      <x:c r="A15" s="17" t="str">
        <x:v>TC-COM-009</x:v>
      </x:c>
      <x:c r="B15" s="17" t="str">
        <x:v>管理</x:v>
      </x:c>
      <x:c r="C15" s="17" t="str">
        <x:v>全て</x:v>
      </x:c>
      <x:c r="D15" s="17" t="str">
        <x:v>共通</x:v>
      </x:c>
      <x:c r="E15" s="17" t="str">
        <x:v>未判定</x:v>
      </x:c>
      <x:c r="F15" s="17"/>
      <x:c r="G15" s="17"/>
      <x:c r="H15" s="18" t="str">
        <x:v>管理アクセス</x:v>
      </x:c>
      <x:c r="I15" s="18"/>
      <x:c r="J15" s="18" t="str">
        <x:v>許可/禁止元、権限別に管理接続を確認</x:v>
      </x:c>
      <x:c r="K15" s="18" t="str">
        <x:v>許可された管理経路と権限だけを使用できる</x:v>
      </x:c>
      <x:c r="L15" s="17"/>
      <x:c r="M15" s="17"/>
      <x:c r="N15" s="18"/>
      <x:c r="O15" s="17"/>
      <x:c r="P15" s="17"/>
      <x:c r="Q15" s="17" t="str">
        <x:f>IF(E15="対象外",IF(LEN(TRIM(P15&amp;""))=0,"理由未記入","対象外・要レビュー"),IF(OR(E15&lt;&gt;"対象",F15="",G15="",I15="",L15="",M15="",N15="",O15=""),"定義未完","レビュー待ち"))</x:f>
        <x:v>定義未完</x:v>
      </x:c>
    </x:row>
    <x:row r="16" ht="66" customHeight="1">
      <x:c r="A16" s="17" t="str">
        <x:v>TC-AUTH-001</x:v>
      </x:c>
      <x:c r="B16" s="17" t="str">
        <x:v>認証</x:v>
      </x:c>
      <x:c r="C16" s="17" t="str">
        <x:v>全て</x:v>
      </x:c>
      <x:c r="D16" s="17" t="str">
        <x:v>共通</x:v>
      </x:c>
      <x:c r="E16" s="17" t="str">
        <x:v>未判定</x:v>
      </x:c>
      <x:c r="F16" s="17"/>
      <x:c r="G16" s="17"/>
      <x:c r="H16" s="18" t="str">
        <x:v>端末認証</x:v>
      </x:c>
      <x:c r="I16" s="18"/>
      <x:c r="J16" s="18" t="str">
        <x:v>正当/不正な端末資格情報で802.1Xを実行</x:v>
      </x:c>
      <x:c r="K16" s="18" t="str">
        <x:v>許可/拒否とVLAN等の認可が設計どおり</x:v>
      </x:c>
      <x:c r="L16" s="17"/>
      <x:c r="M16" s="17"/>
      <x:c r="N16" s="18"/>
      <x:c r="O16" s="17"/>
      <x:c r="P16" s="17"/>
      <x:c r="Q16" s="17" t="str">
        <x:f>IF(E16="対象外",IF(LEN(TRIM(P16&amp;""))=0,"理由未記入","対象外・要レビュー"),IF(OR(E16&lt;&gt;"対象",F16="",G16="",I16="",L16="",M16="",N16="",O16=""),"定義未完","レビュー待ち"))</x:f>
        <x:v>定義未完</x:v>
      </x:c>
    </x:row>
    <x:row r="17" ht="66" customHeight="1">
      <x:c r="A17" s="17" t="str">
        <x:v>TC-AUTH-002</x:v>
      </x:c>
      <x:c r="B17" s="17" t="str">
        <x:v>認証障害</x:v>
      </x:c>
      <x:c r="C17" s="17" t="str">
        <x:v>全て</x:v>
      </x:c>
      <x:c r="D17" s="17" t="str">
        <x:v>共通</x:v>
      </x:c>
      <x:c r="E17" s="17" t="str">
        <x:v>未判定</x:v>
      </x:c>
      <x:c r="F17" s="17"/>
      <x:c r="G17" s="17"/>
      <x:c r="H17" s="18" t="str">
        <x:v>WAN断時の認証</x:v>
      </x:c>
      <x:c r="I17" s="18"/>
      <x:c r="J17" s="18" t="str">
        <x:v>承認済みの方法でWANを遮断し新規/既存/管理者認証を確認</x:v>
      </x:c>
      <x:c r="K17" s="18" t="str">
        <x:v>設計した継続/拒否/fallbackと復旧が成立</x:v>
      </x:c>
      <x:c r="L17" s="17"/>
      <x:c r="M17" s="17"/>
      <x:c r="N17" s="18"/>
      <x:c r="O17" s="17"/>
      <x:c r="P17" s="17"/>
      <x:c r="Q17" s="17" t="str">
        <x:f>IF(E17="対象外",IF(LEN(TRIM(P17&amp;""))=0,"理由未記入","対象外・要レビュー"),IF(OR(E17&lt;&gt;"対象",F17="",G17="",I17="",L17="",M17="",N17="",O17=""),"定義未完","レビュー待ち"))</x:f>
        <x:v>定義未完</x:v>
      </x:c>
    </x:row>
    <x:row r="18" ht="66" customHeight="1">
      <x:c r="A18" s="17" t="str">
        <x:v>TC-AUTH-003</x:v>
      </x:c>
      <x:c r="B18" s="17" t="str">
        <x:v>証明書</x:v>
      </x:c>
      <x:c r="C18" s="17" t="str">
        <x:v>全て</x:v>
      </x:c>
      <x:c r="D18" s="17" t="str">
        <x:v>共通</x:v>
      </x:c>
      <x:c r="E18" s="17" t="str">
        <x:v>未判定</x:v>
      </x:c>
      <x:c r="F18" s="17"/>
      <x:c r="G18" s="17"/>
      <x:c r="H18" s="18" t="str">
        <x:v>無効証明書</x:v>
      </x:c>
      <x:c r="I18" s="18"/>
      <x:c r="J18" s="18" t="str">
        <x:v>試験用の期限切れ/信頼外証明書で認証</x:v>
      </x:c>
      <x:c r="K18" s="18" t="str">
        <x:v>不正証明書を拒否しログが取得できる</x:v>
      </x:c>
      <x:c r="L18" s="17"/>
      <x:c r="M18" s="17"/>
      <x:c r="N18" s="18"/>
      <x:c r="O18" s="17"/>
      <x:c r="P18" s="17"/>
      <x:c r="Q18" s="17" t="str">
        <x:f>IF(E18="対象外",IF(LEN(TRIM(P18&amp;""))=0,"理由未記入","対象外・要レビュー"),IF(OR(E18&lt;&gt;"対象",F18="",G18="",I18="",L18="",M18="",N18="",O18=""),"定義未完","レビュー待ち"))</x:f>
        <x:v>定義未完</x:v>
      </x:c>
    </x:row>
    <x:row r="19" ht="66" customHeight="1">
      <x:c r="A19" s="17" t="str">
        <x:v>TC-WLAN-001</x:v>
      </x:c>
      <x:c r="B19" s="17" t="str">
        <x:v>無線</x:v>
      </x:c>
      <x:c r="C19" s="17" t="str">
        <x:v>P01/P02</x:v>
      </x:c>
      <x:c r="D19" s="17" t="str">
        <x:v>オンプレミス</x:v>
      </x:c>
      <x:c r="E19" s="17" t="str">
        <x:v>未判定</x:v>
      </x:c>
      <x:c r="F19" s="17"/>
      <x:c r="G19" s="17"/>
      <x:c r="H19" s="18" t="str">
        <x:v>電波と移動</x:v>
      </x:c>
      <x:c r="I19" s="18"/>
      <x:c r="J19" s="18" t="str">
        <x:v>測定位置でRSSI/SNR/疎通とローミングを測定</x:v>
      </x:c>
      <x:c r="K19" s="18" t="str">
        <x:v>要件の電波・通信条件を満たす</x:v>
      </x:c>
      <x:c r="L19" s="17"/>
      <x:c r="M19" s="17"/>
      <x:c r="N19" s="18"/>
      <x:c r="O19" s="17"/>
      <x:c r="P19" s="17"/>
      <x:c r="Q19" s="17" t="str">
        <x:f>IF(E19="対象外",IF(LEN(TRIM(P19&amp;""))=0,"理由未記入","対象外・要レビュー"),IF(OR(E19&lt;&gt;"対象",F19="",G19="",I19="",L19="",M19="",N19="",O19=""),"定義未完","レビュー待ち"))</x:f>
        <x:v>定義未完</x:v>
      </x:c>
    </x:row>
    <x:row r="20" ht="66" customHeight="1">
      <x:c r="A20" s="17" t="str">
        <x:v>TC-OPS-001</x:v>
      </x:c>
      <x:c r="B20" s="17" t="str">
        <x:v>運用</x:v>
      </x:c>
      <x:c r="C20" s="17" t="str">
        <x:v>全て</x:v>
      </x:c>
      <x:c r="D20" s="17" t="str">
        <x:v>共通</x:v>
      </x:c>
      <x:c r="E20" s="17" t="str">
        <x:v>未判定</x:v>
      </x:c>
      <x:c r="F20" s="17"/>
      <x:c r="G20" s="17"/>
      <x:c r="H20" s="18" t="str">
        <x:v>監視とログ</x:v>
      </x:c>
      <x:c r="I20" s="18"/>
      <x:c r="J20" s="18" t="str">
        <x:v>対象異常を発生させ通知・復旧通知・ログ保存を確認</x:v>
      </x:c>
      <x:c r="K20" s="18" t="str">
        <x:v>所定の担当へ規定時間内に通知</x:v>
      </x:c>
      <x:c r="L20" s="17"/>
      <x:c r="M20" s="17"/>
      <x:c r="N20" s="18"/>
      <x:c r="O20" s="17"/>
      <x:c r="P20" s="17"/>
      <x:c r="Q20" s="17" t="str">
        <x:f>IF(E20="対象外",IF(LEN(TRIM(P20&amp;""))=0,"理由未記入","対象外・要レビュー"),IF(OR(E20&lt;&gt;"対象",F20="",G20="",I20="",L20="",M20="",N20="",O20=""),"定義未完","レビュー待ち"))</x:f>
        <x:v>定義未完</x:v>
      </x:c>
    </x:row>
    <x:row r="21" ht="66" customHeight="1">
      <x:c r="A21" s="17" t="str">
        <x:v>TC-OPS-002</x:v>
      </x:c>
      <x:c r="B21" s="17" t="str">
        <x:v>復元</x:v>
      </x:c>
      <x:c r="C21" s="17" t="str">
        <x:v>全て</x:v>
      </x:c>
      <x:c r="D21" s="17" t="str">
        <x:v>共通</x:v>
      </x:c>
      <x:c r="E21" s="17" t="str">
        <x:v>未判定</x:v>
      </x:c>
      <x:c r="F21" s="17"/>
      <x:c r="G21" s="17"/>
      <x:c r="H21" s="18" t="str">
        <x:v>バックアップ復元</x:v>
      </x:c>
      <x:c r="I21" s="18"/>
      <x:c r="J21" s="18" t="str">
        <x:v>隔離環境で保存済みConfig等を復元</x:v>
      </x:c>
      <x:c r="K21" s="18" t="str">
        <x:v>対象版へ復元し管理/業務通信を確認できる</x:v>
      </x:c>
      <x:c r="L21" s="17"/>
      <x:c r="M21" s="17"/>
      <x:c r="N21" s="18"/>
      <x:c r="O21" s="17"/>
      <x:c r="P21" s="17"/>
      <x:c r="Q21" s="17" t="str">
        <x:f>IF(E21="対象外",IF(LEN(TRIM(P21&amp;""))=0,"理由未記入","対象外・要レビュー"),IF(OR(E21&lt;&gt;"対象",F21="",G21="",I21="",L21="",M21="",N21="",O21=""),"定義未完","レビュー待ち"))</x:f>
        <x:v>定義未完</x:v>
      </x:c>
    </x:row>
    <x:row r="22" ht="66" customHeight="1">
      <x:c r="A22" s="17" t="str">
        <x:v>TC-PERF-001</x:v>
      </x:c>
      <x:c r="B22" s="17" t="str">
        <x:v>性能</x:v>
      </x:c>
      <x:c r="C22" s="17" t="str">
        <x:v>全て</x:v>
      </x:c>
      <x:c r="D22" s="17" t="str">
        <x:v>共通</x:v>
      </x:c>
      <x:c r="E22" s="17" t="str">
        <x:v>未判定</x:v>
      </x:c>
      <x:c r="F22" s="17"/>
      <x:c r="G22" s="17"/>
      <x:c r="H22" s="18" t="str">
        <x:v>帯域と遅延</x:v>
      </x:c>
      <x:c r="I22" s="18"/>
      <x:c r="J22" s="18" t="str">
        <x:v>定義した方向・負荷・packet長・時間で測定</x:v>
      </x:c>
      <x:c r="K22" s="18" t="str">
        <x:v>帯域/遅延/損失が要件閾値内</x:v>
      </x:c>
      <x:c r="L22" s="17"/>
      <x:c r="M22" s="17"/>
      <x:c r="N22" s="18"/>
      <x:c r="O22" s="17"/>
      <x:c r="P22" s="17"/>
      <x:c r="Q22" s="17" t="str">
        <x:f>IF(E22="対象外",IF(LEN(TRIM(P22&amp;""))=0,"理由未記入","対象外・要レビュー"),IF(OR(E22&lt;&gt;"対象",F22="",G22="",I22="",L22="",M22="",N22="",O22=""),"定義未完","レビュー待ち"))</x:f>
        <x:v>定義未完</x:v>
      </x:c>
    </x:row>
    <x:row r="23" ht="66" customHeight="1">
      <x:c r="A23" s="17" t="str">
        <x:v>TC-PERF-002</x:v>
      </x:c>
      <x:c r="B23" s="17" t="str">
        <x:v>性能</x:v>
      </x:c>
      <x:c r="C23" s="17" t="str">
        <x:v>全て</x:v>
      </x:c>
      <x:c r="D23" s="17" t="str">
        <x:v>共通</x:v>
      </x:c>
      <x:c r="E23" s="17" t="str">
        <x:v>未判定</x:v>
      </x:c>
      <x:c r="F23" s="17"/>
      <x:c r="G23" s="17"/>
      <x:c r="H23" s="18" t="str">
        <x:v>障害時性能</x:v>
      </x:c>
      <x:c r="I23" s="18"/>
      <x:c r="J23" s="18" t="str">
        <x:v>1系停止状態でピーク相当負荷を測定</x:v>
      </x:c>
      <x:c r="K23" s="18" t="str">
        <x:v>残存経路で必要性能を満たす</x:v>
      </x:c>
      <x:c r="L23" s="17"/>
      <x:c r="M23" s="17"/>
      <x:c r="N23" s="18"/>
      <x:c r="O23" s="17"/>
      <x:c r="P23" s="17"/>
      <x:c r="Q23" s="17" t="str">
        <x:f>IF(E23="対象外",IF(LEN(TRIM(P23&amp;""))=0,"理由未記入","対象外・要レビュー"),IF(OR(E23&lt;&gt;"対象",F23="",G23="",I23="",L23="",M23="",N23="",O23=""),"定義未完","レビュー待ち"))</x:f>
        <x:v>定義未完</x:v>
      </x:c>
    </x:row>
    <x:row r="24" ht="66" customHeight="1">
      <x:c r="A24" s="17" t="str">
        <x:v>TC-HA-001</x:v>
      </x:c>
      <x:c r="B24" s="17" t="str">
        <x:v>回線障害</x:v>
      </x:c>
      <x:c r="C24" s="17" t="str">
        <x:v>全て</x:v>
      </x:c>
      <x:c r="D24" s="17" t="str">
        <x:v>共通</x:v>
      </x:c>
      <x:c r="E24" s="17" t="str">
        <x:v>未判定</x:v>
      </x:c>
      <x:c r="F24" s="17"/>
      <x:c r="G24" s="17"/>
      <x:c r="H24" s="18" t="str">
        <x:v>主回線断</x:v>
      </x:c>
      <x:c r="I24" s="18"/>
      <x:c r="J24" s="18" t="str">
        <x:v>主回線を遮断し停止時間と副系経路を採取</x:v>
      </x:c>
      <x:c r="K24" s="18" t="str">
        <x:v>規定時間内に副系へ切替し往復通信が成立</x:v>
      </x:c>
      <x:c r="L24" s="17"/>
      <x:c r="M24" s="17"/>
      <x:c r="N24" s="18"/>
      <x:c r="O24" s="17"/>
      <x:c r="P24" s="17"/>
      <x:c r="Q24" s="17" t="str">
        <x:f>IF(E24="対象外",IF(LEN(TRIM(P24&amp;""))=0,"理由未記入","対象外・要レビュー"),IF(OR(E24&lt;&gt;"対象",F24="",G24="",I24="",L24="",M24="",N24="",O24=""),"定義未完","レビュー待ち"))</x:f>
        <x:v>定義未完</x:v>
      </x:c>
    </x:row>
    <x:row r="25" ht="66" customHeight="1">
      <x:c r="A25" s="17" t="str">
        <x:v>TC-HA-002</x:v>
      </x:c>
      <x:c r="B25" s="17" t="str">
        <x:v>装置障害</x:v>
      </x:c>
      <x:c r="C25" s="17" t="str">
        <x:v>P01/P02</x:v>
      </x:c>
      <x:c r="D25" s="17" t="str">
        <x:v>オンプレミス</x:v>
      </x:c>
      <x:c r="E25" s="17" t="str">
        <x:v>未判定</x:v>
      </x:c>
      <x:c r="F25" s="17"/>
      <x:c r="G25" s="17"/>
      <x:c r="H25" s="18" t="str">
        <x:v>冗長装置断</x:v>
      </x:c>
      <x:c r="I25" s="18"/>
      <x:c r="J25" s="18" t="str">
        <x:v>許可された装置停止を行いHA/FHRP等を確認</x:v>
      </x:c>
      <x:c r="K25" s="18" t="str">
        <x:v>残存装置でサービスを継続</x:v>
      </x:c>
      <x:c r="L25" s="17"/>
      <x:c r="M25" s="17"/>
      <x:c r="N25" s="18"/>
      <x:c r="O25" s="17"/>
      <x:c r="P25" s="17"/>
      <x:c r="Q25" s="17" t="str">
        <x:f>IF(E25="対象外",IF(LEN(TRIM(P25&amp;""))=0,"理由未記入","対象外・要レビュー"),IF(OR(E25&lt;&gt;"対象",F25="",G25="",I25="",L25="",M25="",N25="",O25=""),"定義未完","レビュー待ち"))</x:f>
        <x:v>定義未完</x:v>
      </x:c>
    </x:row>
    <x:row r="26" ht="66" customHeight="1">
      <x:c r="A26" s="17" t="str">
        <x:v>TC-HA-003</x:v>
      </x:c>
      <x:c r="B26" s="17" t="str">
        <x:v>トンネル</x:v>
      </x:c>
      <x:c r="C26" s="17" t="str">
        <x:v>全て</x:v>
      </x:c>
      <x:c r="D26" s="17" t="str">
        <x:v>共通</x:v>
      </x:c>
      <x:c r="E26" s="17" t="str">
        <x:v>未判定</x:v>
      </x:c>
      <x:c r="F26" s="17"/>
      <x:c r="G26" s="17"/>
      <x:c r="H26" s="18" t="str">
        <x:v>VPN片系断</x:v>
      </x:c>
      <x:c r="I26" s="18"/>
      <x:c r="J26" s="18" t="str">
        <x:v>対象トンネルだけを停止し経路と再接続を確認</x:v>
      </x:c>
      <x:c r="K26" s="18" t="str">
        <x:v>残存トンネルへの切替と復帰が設計どおり</x:v>
      </x:c>
      <x:c r="L26" s="17"/>
      <x:c r="M26" s="17"/>
      <x:c r="N26" s="18"/>
      <x:c r="O26" s="17"/>
      <x:c r="P26" s="17"/>
      <x:c r="Q26" s="17" t="str">
        <x:f>IF(E26="対象外",IF(LEN(TRIM(P26&amp;""))=0,"理由未記入","対象外・要レビュー"),IF(OR(E26&lt;&gt;"対象",F26="",G26="",I26="",L26="",M26="",N26="",O26=""),"定義未完","レビュー待ち"))</x:f>
        <x:v>定義未完</x:v>
      </x:c>
    </x:row>
    <x:row r="27" ht="66" customHeight="1">
      <x:c r="A27" s="17" t="str">
        <x:v>TC-HA-004</x:v>
      </x:c>
      <x:c r="B27" s="17" t="str">
        <x:v>復旧</x:v>
      </x:c>
      <x:c r="C27" s="17" t="str">
        <x:v>全て</x:v>
      </x:c>
      <x:c r="D27" s="17" t="str">
        <x:v>共通</x:v>
      </x:c>
      <x:c r="E27" s="17" t="str">
        <x:v>未判定</x:v>
      </x:c>
      <x:c r="F27" s="17"/>
      <x:c r="G27" s="17"/>
      <x:c r="H27" s="18" t="str">
        <x:v>主系復帰</x:v>
      </x:c>
      <x:c r="I27" s="18"/>
      <x:c r="J27" s="18" t="str">
        <x:v>障害解除後の経路・session・通知を確認</x:v>
      </x:c>
      <x:c r="K27" s="18" t="str">
        <x:v>設計した自動/手動復帰動作となる</x:v>
      </x:c>
      <x:c r="L27" s="17"/>
      <x:c r="M27" s="17"/>
      <x:c r="N27" s="18"/>
      <x:c r="O27" s="17"/>
      <x:c r="P27" s="17"/>
      <x:c r="Q27" s="17" t="str">
        <x:f>IF(E27="対象外",IF(LEN(TRIM(P27&amp;""))=0,"理由未記入","対象外・要レビュー"),IF(OR(E27&lt;&gt;"対象",F27="",G27="",I27="",L27="",M27="",N27="",O27=""),"定義未完","レビュー待ち"))</x:f>
        <x:v>定義未完</x:v>
      </x:c>
    </x:row>
    <x:row r="28" ht="66" customHeight="1">
      <x:c r="A28" s="17" t="str">
        <x:v>TC-MTU-001</x:v>
      </x:c>
      <x:c r="B28" s="17" t="str">
        <x:v>経路</x:v>
      </x:c>
      <x:c r="C28" s="17" t="str">
        <x:v>全て</x:v>
      </x:c>
      <x:c r="D28" s="17" t="str">
        <x:v>共通</x:v>
      </x:c>
      <x:c r="E28" s="17" t="str">
        <x:v>未判定</x:v>
      </x:c>
      <x:c r="F28" s="17"/>
      <x:c r="G28" s="17"/>
      <x:c r="H28" s="18" t="str">
        <x:v>MTUとMSS</x:v>
      </x:c>
      <x:c r="I28" s="18"/>
      <x:c r="J28" s="18" t="str">
        <x:v>VPN等を通る代表通信でサイズ・DF条件を変えて測定</x:v>
      </x:c>
      <x:c r="K28" s="18" t="str">
        <x:v>必要なpacket長でblack holeや想定外断がない</x:v>
      </x:c>
      <x:c r="L28" s="17"/>
      <x:c r="M28" s="17"/>
      <x:c r="N28" s="18"/>
      <x:c r="O28" s="17"/>
      <x:c r="P28" s="17"/>
      <x:c r="Q28" s="17" t="str">
        <x:f>IF(E28="対象外",IF(LEN(TRIM(P28&amp;""))=0,"理由未記入","対象外・要レビュー"),IF(OR(E28&lt;&gt;"対象",F28="",G28="",I28="",L28="",M28="",N28="",O28=""),"定義未完","レビュー待ち"))</x:f>
        <x:v>定義未完</x:v>
      </x:c>
    </x:row>
    <x:row r="29" ht="66" customHeight="1">
      <x:c r="A29" s="17" t="str">
        <x:v>TC-NEW-001</x:v>
      </x:c>
      <x:c r="B29" s="17" t="str">
        <x:v>初期導入</x:v>
      </x:c>
      <x:c r="C29" s="17" t="str">
        <x:v>P01</x:v>
      </x:c>
      <x:c r="D29" s="17" t="str">
        <x:v>オンプレミス</x:v>
      </x:c>
      <x:c r="E29" s="17" t="str">
        <x:v>未判定</x:v>
      </x:c>
      <x:c r="F29" s="17"/>
      <x:c r="G29" s="17"/>
      <x:c r="H29" s="18" t="str">
        <x:v>起動とPoE</x:v>
      </x:c>
      <x:c r="I29" s="18"/>
      <x:c r="J29" s="18" t="str">
        <x:v>起動・port・PoE負荷・電源片系を設計範囲で確認</x:v>
      </x:c>
      <x:c r="K29" s="18" t="str">
        <x:v>必要な端末が起動し給電余裕を満たす</x:v>
      </x:c>
      <x:c r="L29" s="17"/>
      <x:c r="M29" s="17"/>
      <x:c r="N29" s="18"/>
      <x:c r="O29" s="17"/>
      <x:c r="P29" s="17"/>
      <x:c r="Q29" s="17" t="str">
        <x:f>IF(E29="対象外",IF(LEN(TRIM(P29&amp;""))=0,"理由未記入","対象外・要レビュー"),IF(OR(E29&lt;&gt;"対象",F29="",G29="",I29="",L29="",M29="",N29="",O29=""),"定義未完","レビュー待ち"))</x:f>
        <x:v>定義未完</x:v>
      </x:c>
    </x:row>
    <x:row r="30" ht="66" customHeight="1">
      <x:c r="A30" s="17" t="str">
        <x:v>TC-REF-001</x:v>
      </x:c>
      <x:c r="B30" s="17" t="str">
        <x:v>更改</x:v>
      </x:c>
      <x:c r="C30" s="17" t="str">
        <x:v>P02</x:v>
      </x:c>
      <x:c r="D30" s="17" t="str">
        <x:v>オンプレミス</x:v>
      </x:c>
      <x:c r="E30" s="17" t="str">
        <x:v>未判定</x:v>
      </x:c>
      <x:c r="F30" s="17"/>
      <x:c r="G30" s="17"/>
      <x:c r="H30" s="18" t="str">
        <x:v>新旧機能比較</x:v>
      </x:c>
      <x:c r="I30" s="18"/>
      <x:c r="J30" s="18" t="str">
        <x:v>継承/変更/廃止の対応表を設定・疎通と照合</x:v>
      </x:c>
      <x:c r="K30" s="18" t="str">
        <x:v>継承機能が維持され変更だけが反映される</x:v>
      </x:c>
      <x:c r="L30" s="17"/>
      <x:c r="M30" s="17"/>
      <x:c r="N30" s="18"/>
      <x:c r="O30" s="17"/>
      <x:c r="P30" s="17"/>
      <x:c r="Q30" s="17" t="str">
        <x:f>IF(E30="対象外",IF(LEN(TRIM(P30&amp;""))=0,"理由未記入","対象外・要レビュー"),IF(OR(E30&lt;&gt;"対象",F30="",G30="",I30="",L30="",M30="",N30="",O30=""),"定義未完","レビュー待ち"))</x:f>
        <x:v>定義未完</x:v>
      </x:c>
    </x:row>
    <x:row r="31" ht="66" customHeight="1">
      <x:c r="A31" s="17" t="str">
        <x:v>TC-REF-002</x:v>
      </x:c>
      <x:c r="B31" s="17" t="str">
        <x:v>更改</x:v>
      </x:c>
      <x:c r="C31" s="17" t="str">
        <x:v>P02</x:v>
      </x:c>
      <x:c r="D31" s="17" t="str">
        <x:v>オンプレミス</x:v>
      </x:c>
      <x:c r="E31" s="17" t="str">
        <x:v>未判定</x:v>
      </x:c>
      <x:c r="F31" s="17"/>
      <x:c r="G31" s="17"/>
      <x:c r="H31" s="18" t="str">
        <x:v>新旧切替</x:v>
      </x:c>
      <x:c r="I31" s="18"/>
      <x:c r="J31" s="18" t="str">
        <x:v>配線/経路切替後にARP/MAC/STPと業務を確認</x:v>
      </x:c>
      <x:c r="K31" s="18" t="str">
        <x:v>ループ・誤経路がなく業務を利用できる</x:v>
      </x:c>
      <x:c r="L31" s="17"/>
      <x:c r="M31" s="17"/>
      <x:c r="N31" s="18"/>
      <x:c r="O31" s="17"/>
      <x:c r="P31" s="17"/>
      <x:c r="Q31" s="17" t="str">
        <x:f>IF(E31="対象外",IF(LEN(TRIM(P31&amp;""))=0,"理由未記入","対象外・要レビュー"),IF(OR(E31&lt;&gt;"対象",F31="",G31="",I31="",L31="",M31="",N31="",O31=""),"定義未完","レビュー待ち"))</x:f>
        <x:v>定義未完</x:v>
      </x:c>
    </x:row>
    <x:row r="32" ht="66" customHeight="1">
      <x:c r="A32" s="17" t="str">
        <x:v>TC-AWS-001</x:v>
      </x:c>
      <x:c r="B32" s="17" t="str">
        <x:v>クラウド経路</x:v>
      </x:c>
      <x:c r="C32" s="17" t="str">
        <x:v>P03</x:v>
      </x:c>
      <x:c r="D32" s="17" t="str">
        <x:v>AWS</x:v>
      </x:c>
      <x:c r="E32" s="17" t="str">
        <x:v>未判定</x:v>
      </x:c>
      <x:c r="F32" s="17"/>
      <x:c r="G32" s="17"/>
      <x:c r="H32" s="18" t="str">
        <x:v>VPCと中継経路</x:v>
      </x:c>
      <x:c r="I32" s="18"/>
      <x:c r="J32" s="18" t="str">
        <x:v>VPC/TGW等の関連付け・伝播・戻り経路を確認</x:v>
      </x:c>
      <x:c r="K32" s="18" t="str">
        <x:v>対象拠点と対象VPCだけが設計どおり疎通</x:v>
      </x:c>
      <x:c r="L32" s="17"/>
      <x:c r="M32" s="17"/>
      <x:c r="N32" s="18"/>
      <x:c r="O32" s="17"/>
      <x:c r="P32" s="17"/>
      <x:c r="Q32" s="17" t="str">
        <x:f>IF(E32="対象外",IF(LEN(TRIM(P32&amp;""))=0,"理由未記入","対象外・要レビュー"),IF(OR(E32&lt;&gt;"対象",F32="",G32="",I32="",L32="",M32="",N32="",O32=""),"定義未完","レビュー待ち"))</x:f>
        <x:v>定義未完</x:v>
      </x:c>
    </x:row>
    <x:row r="33" ht="66" customHeight="1">
      <x:c r="A33" s="17" t="str">
        <x:v>TC-AWS-002</x:v>
      </x:c>
      <x:c r="B33" s="17" t="str">
        <x:v>クラウド制御</x:v>
      </x:c>
      <x:c r="C33" s="17" t="str">
        <x:v>P03</x:v>
      </x:c>
      <x:c r="D33" s="17" t="str">
        <x:v>AWS</x:v>
      </x:c>
      <x:c r="E33" s="17" t="str">
        <x:v>未判定</x:v>
      </x:c>
      <x:c r="F33" s="17"/>
      <x:c r="G33" s="17"/>
      <x:c r="H33" s="18" t="str">
        <x:v>SGとNACL</x:v>
      </x:c>
      <x:c r="I33" s="18"/>
      <x:c r="J33" s="18" t="str">
        <x:v>許可/拒否フローを送出し適用ルールとログを確認</x:v>
      </x:c>
      <x:c r="K33" s="18" t="str">
        <x:v>往復の許可・拒否が通信要件に一致</x:v>
      </x:c>
      <x:c r="L33" s="17"/>
      <x:c r="M33" s="17"/>
      <x:c r="N33" s="18"/>
      <x:c r="O33" s="17"/>
      <x:c r="P33" s="17"/>
      <x:c r="Q33" s="17" t="str">
        <x:f>IF(E33="対象外",IF(LEN(TRIM(P33&amp;""))=0,"理由未記入","対象外・要レビュー"),IF(OR(E33&lt;&gt;"対象",F33="",G33="",I33="",L33="",M33="",N33="",O33=""),"定義未完","レビュー待ち"))</x:f>
        <x:v>定義未完</x:v>
      </x:c>
    </x:row>
    <x:row r="34" ht="66" customHeight="1">
      <x:c r="A34" s="17" t="str">
        <x:v>TC-AWS-003</x:v>
      </x:c>
      <x:c r="B34" s="17" t="str">
        <x:v>クラウド接続</x:v>
      </x:c>
      <x:c r="C34" s="17" t="str">
        <x:v>P03</x:v>
      </x:c>
      <x:c r="D34" s="17" t="str">
        <x:v>AWS</x:v>
      </x:c>
      <x:c r="E34" s="17" t="str">
        <x:v>未判定</x:v>
      </x:c>
      <x:c r="F34" s="17"/>
      <x:c r="G34" s="17"/>
      <x:c r="H34" s="18" t="str">
        <x:v>VPNとDX等</x:v>
      </x:c>
      <x:c r="I34" s="18"/>
      <x:c r="J34" s="18" t="str">
        <x:v>採用した主副接続の断・復旧を測定</x:v>
      </x:c>
      <x:c r="K34" s="18" t="str">
        <x:v>期待経路と停止時間が要件を満たす</x:v>
      </x:c>
      <x:c r="L34" s="17"/>
      <x:c r="M34" s="17"/>
      <x:c r="N34" s="18"/>
      <x:c r="O34" s="17"/>
      <x:c r="P34" s="17"/>
      <x:c r="Q34" s="17" t="str">
        <x:f>IF(E34="対象外",IF(LEN(TRIM(P34&amp;""))=0,"理由未記入","対象外・要レビュー"),IF(OR(E34&lt;&gt;"対象",F34="",G34="",I34="",L34="",M34="",N34="",O34=""),"定義未完","レビュー待ち"))</x:f>
        <x:v>定義未完</x:v>
      </x:c>
    </x:row>
    <x:row r="35" ht="66" customHeight="1">
      <x:c r="A35" s="17" t="str">
        <x:v>TC-AWS-004</x:v>
      </x:c>
      <x:c r="B35" s="17" t="str">
        <x:v>名前解決</x:v>
      </x:c>
      <x:c r="C35" s="17" t="str">
        <x:v>P03</x:v>
      </x:c>
      <x:c r="D35" s="17" t="str">
        <x:v>AWS</x:v>
      </x:c>
      <x:c r="E35" s="17" t="str">
        <x:v>未判定</x:v>
      </x:c>
      <x:c r="F35" s="17"/>
      <x:c r="G35" s="17"/>
      <x:c r="H35" s="18" t="str">
        <x:v>Private名の解決</x:v>
      </x:c>
      <x:c r="I35" s="18"/>
      <x:c r="J35" s="18" t="str">
        <x:v>拠点からVPC内private名と逆方向の社内名を解決</x:v>
      </x:c>
      <x:c r="K35" s="18" t="str">
        <x:v>設計したResolver/zone経由で応答</x:v>
      </x:c>
      <x:c r="L35" s="17"/>
      <x:c r="M35" s="17"/>
      <x:c r="N35" s="18"/>
      <x:c r="O35" s="17"/>
      <x:c r="P35" s="17"/>
      <x:c r="Q35" s="17" t="str">
        <x:f>IF(E35="対象外",IF(LEN(TRIM(P35&amp;""))=0,"理由未記入","対象外・要レビュー"),IF(OR(E35&lt;&gt;"対象",F35="",G35="",I35="",L35="",M35="",N35="",O35=""),"定義未完","レビュー待ち"))</x:f>
        <x:v>定義未完</x:v>
      </x:c>
    </x:row>
    <x:row r="36" ht="66" customHeight="1">
      <x:c r="A36" s="17" t="str">
        <x:v>TC-AZ-001</x:v>
      </x:c>
      <x:c r="B36" s="17" t="str">
        <x:v>クラウド経路</x:v>
      </x:c>
      <x:c r="C36" s="17" t="str">
        <x:v>P03</x:v>
      </x:c>
      <x:c r="D36" s="17" t="str">
        <x:v>Azure</x:v>
      </x:c>
      <x:c r="E36" s="17" t="str">
        <x:v>未判定</x:v>
      </x:c>
      <x:c r="F36" s="17"/>
      <x:c r="G36" s="17"/>
      <x:c r="H36" s="18" t="str">
        <x:v>VNetとUDR</x:v>
      </x:c>
      <x:c r="I36" s="18"/>
      <x:c r="J36" s="18" t="str">
        <x:v>peering/gateway/UDRと往復経路を確認</x:v>
      </x:c>
      <x:c r="K36" s="18" t="str">
        <x:v>転送/中継の範囲が設計に一致</x:v>
      </x:c>
      <x:c r="L36" s="17"/>
      <x:c r="M36" s="17"/>
      <x:c r="N36" s="18"/>
      <x:c r="O36" s="17"/>
      <x:c r="P36" s="17"/>
      <x:c r="Q36" s="17" t="str">
        <x:f>IF(E36="対象外",IF(LEN(TRIM(P36&amp;""))=0,"理由未記入","対象外・要レビュー"),IF(OR(E36&lt;&gt;"対象",F36="",G36="",I36="",L36="",M36="",N36="",O36=""),"定義未完","レビュー待ち"))</x:f>
        <x:v>定義未完</x:v>
      </x:c>
    </x:row>
    <x:row r="37" ht="66" customHeight="1">
      <x:c r="A37" s="17" t="str">
        <x:v>TC-AZ-002</x:v>
      </x:c>
      <x:c r="B37" s="17" t="str">
        <x:v>クラウド制御</x:v>
      </x:c>
      <x:c r="C37" s="17" t="str">
        <x:v>P03</x:v>
      </x:c>
      <x:c r="D37" s="17" t="str">
        <x:v>Azure</x:v>
      </x:c>
      <x:c r="E37" s="17" t="str">
        <x:v>未判定</x:v>
      </x:c>
      <x:c r="F37" s="17"/>
      <x:c r="G37" s="17"/>
      <x:c r="H37" s="18" t="str">
        <x:v>NSGとFirewall</x:v>
      </x:c>
      <x:c r="I37" s="18"/>
      <x:c r="J37" s="18" t="str">
        <x:v>許可/拒否フローを送出しルールとログを確認</x:v>
      </x:c>
      <x:c r="K37" s="18" t="str">
        <x:v>優先順位と往復通信が設計に一致</x:v>
      </x:c>
      <x:c r="L37" s="17"/>
      <x:c r="M37" s="17"/>
      <x:c r="N37" s="18"/>
      <x:c r="O37" s="17"/>
      <x:c r="P37" s="17"/>
      <x:c r="Q37" s="17" t="str">
        <x:f>IF(E37="対象外",IF(LEN(TRIM(P37&amp;""))=0,"理由未記入","対象外・要レビュー"),IF(OR(E37&lt;&gt;"対象",F37="",G37="",I37="",L37="",M37="",N37="",O37=""),"定義未完","レビュー待ち"))</x:f>
        <x:v>定義未完</x:v>
      </x:c>
    </x:row>
    <x:row r="38" ht="66" customHeight="1">
      <x:c r="A38" s="17" t="str">
        <x:v>TC-AZ-003</x:v>
      </x:c>
      <x:c r="B38" s="17" t="str">
        <x:v>クラウド接続</x:v>
      </x:c>
      <x:c r="C38" s="17" t="str">
        <x:v>P03</x:v>
      </x:c>
      <x:c r="D38" s="17" t="str">
        <x:v>Azure</x:v>
      </x:c>
      <x:c r="E38" s="17" t="str">
        <x:v>未判定</x:v>
      </x:c>
      <x:c r="F38" s="17"/>
      <x:c r="G38" s="17"/>
      <x:c r="H38" s="18" t="str">
        <x:v>VPNとExpressRoute等</x:v>
      </x:c>
      <x:c r="I38" s="18"/>
      <x:c r="J38" s="18" t="str">
        <x:v>採用した主副接続の断・復旧を測定</x:v>
      </x:c>
      <x:c r="K38" s="18" t="str">
        <x:v>期待経路と停止時間が要件を満たす</x:v>
      </x:c>
      <x:c r="L38" s="17"/>
      <x:c r="M38" s="17"/>
      <x:c r="N38" s="18"/>
      <x:c r="O38" s="17"/>
      <x:c r="P38" s="17"/>
      <x:c r="Q38" s="17" t="str">
        <x:f>IF(E38="対象外",IF(LEN(TRIM(P38&amp;""))=0,"理由未記入","対象外・要レビュー"),IF(OR(E38&lt;&gt;"対象",F38="",G38="",I38="",L38="",M38="",N38="",O38=""),"定義未完","レビュー待ち"))</x:f>
        <x:v>定義未完</x:v>
      </x:c>
    </x:row>
    <x:row r="39" ht="66" customHeight="1">
      <x:c r="A39" s="17" t="str">
        <x:v>TC-AZ-004</x:v>
      </x:c>
      <x:c r="B39" s="17" t="str">
        <x:v>名前解決</x:v>
      </x:c>
      <x:c r="C39" s="17" t="str">
        <x:v>P03</x:v>
      </x:c>
      <x:c r="D39" s="17" t="str">
        <x:v>Azure</x:v>
      </x:c>
      <x:c r="E39" s="17" t="str">
        <x:v>未判定</x:v>
      </x:c>
      <x:c r="F39" s="17"/>
      <x:c r="G39" s="17"/>
      <x:c r="H39" s="18" t="str">
        <x:v>Private Endpoint DNS</x:v>
      </x:c>
      <x:c r="I39" s="18"/>
      <x:c r="J39" s="18" t="str">
        <x:v>拠点から対象private名と社内名の連携を確認</x:v>
      </x:c>
      <x:c r="K39" s="18" t="str">
        <x:v>所定のprivate IPへ解決し意図した経路で疎通</x:v>
      </x:c>
      <x:c r="L39" s="17"/>
      <x:c r="M39" s="17"/>
      <x:c r="N39" s="18"/>
      <x:c r="O39" s="17"/>
      <x:c r="P39" s="17"/>
      <x:c r="Q39" s="17" t="str">
        <x:f>IF(E39="対象外",IF(LEN(TRIM(P39&amp;""))=0,"理由未記入","対象外・要レビュー"),IF(OR(E39&lt;&gt;"対象",F39="",G39="",I39="",L39="",M39="",N39="",O39=""),"定義未完","レビュー待ち"))</x:f>
        <x:v>定義未完</x:v>
      </x:c>
    </x:row>
    <x:row r="40" ht="66" customHeight="1">
      <x:c r="A40" s="17" t="str">
        <x:v>TC-MIG-001</x:v>
      </x:c>
      <x:c r="B40" s="17" t="str">
        <x:v>段階移行</x:v>
      </x:c>
      <x:c r="C40" s="17" t="str">
        <x:v>P03</x:v>
      </x:c>
      <x:c r="D40" s="17" t="str">
        <x:v>共通</x:v>
      </x:c>
      <x:c r="E40" s="17" t="str">
        <x:v>未判定</x:v>
      </x:c>
      <x:c r="F40" s="17"/>
      <x:c r="G40" s="17"/>
      <x:c r="H40" s="18" t="str">
        <x:v>一部拠点の先行移行</x:v>
      </x:c>
      <x:c r="I40" s="18"/>
      <x:c r="J40" s="18" t="str">
        <x:v>先行拠点を切替し他拠点・残置業務への影響を確認</x:v>
      </x:c>
      <x:c r="K40" s="18" t="str">
        <x:v>先行/未切替拠点の業務と認証が成立</x:v>
      </x:c>
      <x:c r="L40" s="17"/>
      <x:c r="M40" s="17"/>
      <x:c r="N40" s="18"/>
      <x:c r="O40" s="17"/>
      <x:c r="P40" s="17"/>
      <x:c r="Q40" s="17" t="str">
        <x:f>IF(E40="対象外",IF(LEN(TRIM(P40&amp;""))=0,"理由未記入","対象外・要レビュー"),IF(OR(E40&lt;&gt;"対象",F40="",G40="",I40="",L40="",M40="",N40="",O40=""),"定義未完","レビュー待ち"))</x:f>
        <x:v>定義未完</x:v>
      </x:c>
    </x:row>
    <x:row r="41" ht="66" customHeight="1">
      <x:c r="A41" s="17" t="str">
        <x:v>TC-MIG-002</x:v>
      </x:c>
      <x:c r="B41" s="17" t="str">
        <x:v>切戻し</x:v>
      </x:c>
      <x:c r="C41" s="17" t="str">
        <x:v>P02/P03</x:v>
      </x:c>
      <x:c r="D41" s="17" t="str">
        <x:v>共通</x:v>
      </x:c>
      <x:c r="E41" s="17" t="str">
        <x:v>未判定</x:v>
      </x:c>
      <x:c r="F41" s="17"/>
      <x:c r="G41" s="17"/>
      <x:c r="H41" s="18" t="str">
        <x:v>ネットワークの切戻し</x:v>
      </x:c>
      <x:c r="I41" s="18"/>
      <x:c r="J41" s="18" t="str">
        <x:v>切戻し手順を実行し全拠点の通信・認証を確認</x:v>
      </x:c>
      <x:c r="K41" s="18" t="str">
        <x:v>定めた時間内に旧系で業務を再開</x:v>
      </x:c>
      <x:c r="L41" s="17"/>
      <x:c r="M41" s="17"/>
      <x:c r="N41" s="18"/>
      <x:c r="O41" s="17"/>
      <x:c r="P41" s="17"/>
      <x:c r="Q41" s="17" t="str">
        <x:f>IF(E41="対象外",IF(LEN(TRIM(P41&amp;""))=0,"理由未記入","対象外・要レビュー"),IF(OR(E41&lt;&gt;"対象",F41="",G41="",I41="",L41="",M41="",N41="",O41=""),"定義未完","レビュー待ち"))</x:f>
        <x:v>定義未完</x:v>
      </x:c>
    </x:row>
    <x:row r="42" ht="66" customHeight="1">
      <x:c r="A42" s="17" t="str">
        <x:v>TC-MIG-003</x:v>
      </x:c>
      <x:c r="B42" s="17" t="str">
        <x:v>可逆性</x:v>
      </x:c>
      <x:c r="C42" s="17" t="str">
        <x:v>P03</x:v>
      </x:c>
      <x:c r="D42" s="17" t="str">
        <x:v>共通</x:v>
      </x:c>
      <x:c r="E42" s="17" t="str">
        <x:v>未判定</x:v>
      </x:c>
      <x:c r="F42" s="17"/>
      <x:c r="G42" s="17"/>
      <x:c r="H42" s="18" t="str">
        <x:v>データと認証の整合</x:v>
      </x:c>
      <x:c r="I42" s="18"/>
      <x:c r="J42" s="18" t="str">
        <x:v>システム担当と書込み/証明書/認証変更の戻しを確認</x:v>
      </x:c>
      <x:c r="K42" s="18" t="str">
        <x:v>戻せない境界と代替復旧を確認できる</x:v>
      </x:c>
      <x:c r="L42" s="17"/>
      <x:c r="M42" s="17"/>
      <x:c r="N42" s="18"/>
      <x:c r="O42" s="17"/>
      <x:c r="P42" s="17"/>
      <x:c r="Q42" s="17" t="str">
        <x:f>IF(E42="対象外",IF(LEN(TRIM(P42&amp;""))=0,"理由未記入","対象外・要レビュー"),IF(OR(E42&lt;&gt;"対象",F42="",G42="",I42="",L42="",M42="",N42="",O42=""),"定義未完","レビュー待ち"))</x:f>
        <x:v>定義未完</x:v>
      </x:c>
    </x:row>
  </x:sheetData>
  <x:mergeCells>
    <x:mergeCell ref="A2:H3"/>
  </x:mergeCells>
  <x:dataValidations count="1">
    <x:dataValidation type="list" sqref="E7:E42">
      <x:formula1>"未判定,対象,対象外"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d7f68749d34db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2" hidden="0" customWidth="1"/>
    <x:col min="7" max="7" width="19" hidden="0" customWidth="1"/>
    <x:col min="8" max="8" width="42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38" customHeight="1">
      <x:c r="A1" s="2" t="str">
        <x:v>実施記録</x:v>
      </x:c>
    </x:row>
    <x:row r="2" ht="23" customHeight="1">
      <x:c r="A2" s="5" t="str">
        <x:v>1回の実施に1行。未実施の結果を埋めないでください。再試験は新RUN-IDで登録し、最終採用を明示します。</x:v>
      </x:c>
    </x:row>
    <x:row r="3" ht="23" customHeight="1"/>
    <x:row r="6" ht="44" customHeight="1">
      <x:c r="A6" s="16" t="str">
        <x:v>RUN-ID</x:v>
      </x:c>
      <x:c r="B6" s="16" t="str">
        <x:v>TC-ID</x:v>
      </x:c>
      <x:c r="C6" s="16" t="str">
        <x:v>設計・Config版</x:v>
      </x:c>
      <x:c r="D6" s="16" t="str">
        <x:v>実施日時</x:v>
      </x:c>
      <x:c r="E6" s="16" t="str">
        <x:v>実施者</x:v>
      </x:c>
      <x:c r="F6" s="16" t="str">
        <x:v>実測・確認内容</x:v>
      </x:c>
      <x:c r="G6" s="16" t="str">
        <x:v>結果</x:v>
      </x:c>
      <x:c r="H6" s="16" t="str">
        <x:v>証跡URL・位置</x:v>
      </x:c>
      <x:c r="I6" s="16" t="str">
        <x:v>ISS-ID</x:v>
      </x:c>
      <x:c r="J6" s="16" t="str">
        <x:v>最終採用</x:v>
      </x:c>
      <x:c r="K6" s="16" t="str">
        <x:v>レビュー記録ID</x:v>
      </x:c>
      <x:c r="L6" s="16" t="str">
        <x:v>記録確認</x:v>
      </x:c>
    </x:row>
    <x:row r="7" ht="30" customHeight="1">
      <x:c r="A7" s="17"/>
      <x:c r="B7" s="17"/>
      <x:c r="C7" s="17"/>
      <x:c r="D7" s="17"/>
      <x:c r="E7" s="17"/>
      <x:c r="F7" s="18"/>
      <x:c r="G7" s="17"/>
      <x:c r="H7" s="18"/>
      <x:c r="I7" s="17"/>
      <x:c r="J7" s="17"/>
      <x:c r="K7" s="17"/>
      <x:c r="L7" s="17" t="str">
        <x:f>IF(A7="","",IF(COUNTIF($A$7:$A$106,A7)&gt;1,"ID重複",IF(COUNTIF('試験定義'!$A$7:$A$42,B7)&lt;&gt;1,"TC参照不正",IF(AND(J7="はい",COUNTIFS($B$7:$B$106,B7,$C$7:$C$106,C7,$J$7:$J$106,"はい")&gt;1),"最終採用重複",IF(OR(G7="",G7="未実施"),"未実施",IF(OR(C7="",D7="",E7="",F7="",H7="",J7="",K7=""),"記録不足",IF(G7="合格","レビュー記録あり","要確認")))))))</x:f>
      </x:c>
    </x:row>
    <x:row r="8" ht="30" customHeight="1">
      <x:c r="A8" s="17"/>
      <x:c r="B8" s="17"/>
      <x:c r="C8" s="17"/>
      <x:c r="D8" s="17"/>
      <x:c r="E8" s="17"/>
      <x:c r="F8" s="18"/>
      <x:c r="G8" s="17"/>
      <x:c r="H8" s="18"/>
      <x:c r="I8" s="17"/>
      <x:c r="J8" s="17"/>
      <x:c r="K8" s="17"/>
      <x:c r="L8" s="17" t="str">
        <x:f>IF(A8="","",IF(COUNTIF($A$7:$A$106,A8)&gt;1,"ID重複",IF(COUNTIF('試験定義'!$A$7:$A$42,B8)&lt;&gt;1,"TC参照不正",IF(AND(J8="はい",COUNTIFS($B$7:$B$106,B8,$C$7:$C$106,C8,$J$7:$J$106,"はい")&gt;1),"最終採用重複",IF(OR(G8="",G8="未実施"),"未実施",IF(OR(C8="",D8="",E8="",F8="",H8="",J8="",K8=""),"記録不足",IF(G8="合格","レビュー記録あり","要確認")))))))</x:f>
      </x:c>
    </x:row>
    <x:row r="9" ht="30" customHeight="1">
      <x:c r="A9" s="17"/>
      <x:c r="B9" s="17"/>
      <x:c r="C9" s="17"/>
      <x:c r="D9" s="17"/>
      <x:c r="E9" s="17"/>
      <x:c r="F9" s="18"/>
      <x:c r="G9" s="17"/>
      <x:c r="H9" s="18"/>
      <x:c r="I9" s="17"/>
      <x:c r="J9" s="17"/>
      <x:c r="K9" s="17"/>
      <x:c r="L9" s="17" t="str">
        <x:f>IF(A9="","",IF(COUNTIF($A$7:$A$106,A9)&gt;1,"ID重複",IF(COUNTIF('試験定義'!$A$7:$A$42,B9)&lt;&gt;1,"TC参照不正",IF(AND(J9="はい",COUNTIFS($B$7:$B$106,B9,$C$7:$C$106,C9,$J$7:$J$106,"はい")&gt;1),"最終採用重複",IF(OR(G9="",G9="未実施"),"未実施",IF(OR(C9="",D9="",E9="",F9="",H9="",J9="",K9=""),"記録不足",IF(G9="合格","レビュー記録あり","要確認")))))))</x:f>
      </x:c>
    </x:row>
    <x:row r="10" ht="30" customHeight="1">
      <x:c r="A10" s="17"/>
      <x:c r="B10" s="17"/>
      <x:c r="C10" s="17"/>
      <x:c r="D10" s="17"/>
      <x:c r="E10" s="17"/>
      <x:c r="F10" s="18"/>
      <x:c r="G10" s="17"/>
      <x:c r="H10" s="18"/>
      <x:c r="I10" s="17"/>
      <x:c r="J10" s="17"/>
      <x:c r="K10" s="17"/>
      <x:c r="L10" s="17" t="str">
        <x:f>IF(A10="","",IF(COUNTIF($A$7:$A$106,A10)&gt;1,"ID重複",IF(COUNTIF('試験定義'!$A$7:$A$42,B10)&lt;&gt;1,"TC参照不正",IF(AND(J10="はい",COUNTIFS($B$7:$B$106,B10,$C$7:$C$106,C10,$J$7:$J$106,"はい")&gt;1),"最終採用重複",IF(OR(G10="",G10="未実施"),"未実施",IF(OR(C10="",D10="",E10="",F10="",H10="",J10="",K10=""),"記録不足",IF(G10="合格","レビュー記録あり","要確認")))))))</x:f>
      </x:c>
    </x:row>
    <x:row r="11" ht="30" customHeight="1">
      <x:c r="A11" s="17"/>
      <x:c r="B11" s="17"/>
      <x:c r="C11" s="17"/>
      <x:c r="D11" s="17"/>
      <x:c r="E11" s="17"/>
      <x:c r="F11" s="18"/>
      <x:c r="G11" s="17"/>
      <x:c r="H11" s="18"/>
      <x:c r="I11" s="17"/>
      <x:c r="J11" s="17"/>
      <x:c r="K11" s="17"/>
      <x:c r="L11" s="17" t="str">
        <x:f>IF(A11="","",IF(COUNTIF($A$7:$A$106,A11)&gt;1,"ID重複",IF(COUNTIF('試験定義'!$A$7:$A$42,B11)&lt;&gt;1,"TC参照不正",IF(AND(J11="はい",COUNTIFS($B$7:$B$106,B11,$C$7:$C$106,C11,$J$7:$J$106,"はい")&gt;1),"最終採用重複",IF(OR(G11="",G11="未実施"),"未実施",IF(OR(C11="",D11="",E11="",F11="",H11="",J11="",K11=""),"記録不足",IF(G11="合格","レビュー記録あり","要確認")))))))</x:f>
      </x:c>
    </x:row>
    <x:row r="12" ht="30" customHeight="1">
      <x:c r="A12" s="17"/>
      <x:c r="B12" s="17"/>
      <x:c r="C12" s="17"/>
      <x:c r="D12" s="17"/>
      <x:c r="E12" s="17"/>
      <x:c r="F12" s="18"/>
      <x:c r="G12" s="17"/>
      <x:c r="H12" s="18"/>
      <x:c r="I12" s="17"/>
      <x:c r="J12" s="17"/>
      <x:c r="K12" s="17"/>
      <x:c r="L12" s="17" t="str">
        <x:f>IF(A12="","",IF(COUNTIF($A$7:$A$106,A12)&gt;1,"ID重複",IF(COUNTIF('試験定義'!$A$7:$A$42,B12)&lt;&gt;1,"TC参照不正",IF(AND(J12="はい",COUNTIFS($B$7:$B$106,B12,$C$7:$C$106,C12,$J$7:$J$106,"はい")&gt;1),"最終採用重複",IF(OR(G12="",G12="未実施"),"未実施",IF(OR(C12="",D12="",E12="",F12="",H12="",J12="",K12=""),"記録不足",IF(G12="合格","レビュー記録あり","要確認")))))))</x:f>
      </x:c>
    </x:row>
    <x:row r="13" ht="30" customHeight="1">
      <x:c r="A13" s="17"/>
      <x:c r="B13" s="17"/>
      <x:c r="C13" s="17"/>
      <x:c r="D13" s="17"/>
      <x:c r="E13" s="17"/>
      <x:c r="F13" s="18"/>
      <x:c r="G13" s="17"/>
      <x:c r="H13" s="18"/>
      <x:c r="I13" s="17"/>
      <x:c r="J13" s="17"/>
      <x:c r="K13" s="17"/>
      <x:c r="L13" s="17" t="str">
        <x:f>IF(A13="","",IF(COUNTIF($A$7:$A$106,A13)&gt;1,"ID重複",IF(COUNTIF('試験定義'!$A$7:$A$42,B13)&lt;&gt;1,"TC参照不正",IF(AND(J13="はい",COUNTIFS($B$7:$B$106,B13,$C$7:$C$106,C13,$J$7:$J$106,"はい")&gt;1),"最終採用重複",IF(OR(G13="",G13="未実施"),"未実施",IF(OR(C13="",D13="",E13="",F13="",H13="",J13="",K13=""),"記録不足",IF(G13="合格","レビュー記録あり","要確認")))))))</x:f>
      </x:c>
    </x:row>
    <x:row r="14" ht="30" customHeight="1">
      <x:c r="A14" s="17"/>
      <x:c r="B14" s="17"/>
      <x:c r="C14" s="17"/>
      <x:c r="D14" s="17"/>
      <x:c r="E14" s="17"/>
      <x:c r="F14" s="18"/>
      <x:c r="G14" s="17"/>
      <x:c r="H14" s="18"/>
      <x:c r="I14" s="17"/>
      <x:c r="J14" s="17"/>
      <x:c r="K14" s="17"/>
      <x:c r="L14" s="17" t="str">
        <x:f>IF(A14="","",IF(COUNTIF($A$7:$A$106,A14)&gt;1,"ID重複",IF(COUNTIF('試験定義'!$A$7:$A$42,B14)&lt;&gt;1,"TC参照不正",IF(AND(J14="はい",COUNTIFS($B$7:$B$106,B14,$C$7:$C$106,C14,$J$7:$J$106,"はい")&gt;1),"最終採用重複",IF(OR(G14="",G14="未実施"),"未実施",IF(OR(C14="",D14="",E14="",F14="",H14="",J14="",K14=""),"記録不足",IF(G14="合格","レビュー記録あり","要確認")))))))</x:f>
      </x:c>
    </x:row>
    <x:row r="15" ht="30" customHeight="1">
      <x:c r="A15" s="17"/>
      <x:c r="B15" s="17"/>
      <x:c r="C15" s="17"/>
      <x:c r="D15" s="17"/>
      <x:c r="E15" s="17"/>
      <x:c r="F15" s="18"/>
      <x:c r="G15" s="17"/>
      <x:c r="H15" s="18"/>
      <x:c r="I15" s="17"/>
      <x:c r="J15" s="17"/>
      <x:c r="K15" s="17"/>
      <x:c r="L15" s="17" t="str">
        <x:f>IF(A15="","",IF(COUNTIF($A$7:$A$106,A15)&gt;1,"ID重複",IF(COUNTIF('試験定義'!$A$7:$A$42,B15)&lt;&gt;1,"TC参照不正",IF(AND(J15="はい",COUNTIFS($B$7:$B$106,B15,$C$7:$C$106,C15,$J$7:$J$106,"はい")&gt;1),"最終採用重複",IF(OR(G15="",G15="未実施"),"未実施",IF(OR(C15="",D15="",E15="",F15="",H15="",J15="",K15=""),"記録不足",IF(G15="合格","レビュー記録あり","要確認")))))))</x:f>
      </x:c>
    </x:row>
    <x:row r="16" ht="30" customHeight="1">
      <x:c r="A16" s="17"/>
      <x:c r="B16" s="17"/>
      <x:c r="C16" s="17"/>
      <x:c r="D16" s="17"/>
      <x:c r="E16" s="17"/>
      <x:c r="F16" s="18"/>
      <x:c r="G16" s="17"/>
      <x:c r="H16" s="18"/>
      <x:c r="I16" s="17"/>
      <x:c r="J16" s="17"/>
      <x:c r="K16" s="17"/>
      <x:c r="L16" s="17" t="str">
        <x:f>IF(A16="","",IF(COUNTIF($A$7:$A$106,A16)&gt;1,"ID重複",IF(COUNTIF('試験定義'!$A$7:$A$42,B16)&lt;&gt;1,"TC参照不正",IF(AND(J16="はい",COUNTIFS($B$7:$B$106,B16,$C$7:$C$106,C16,$J$7:$J$106,"はい")&gt;1),"最終採用重複",IF(OR(G16="",G16="未実施"),"未実施",IF(OR(C16="",D16="",E16="",F16="",H16="",J16="",K16=""),"記録不足",IF(G16="合格","レビュー記録あり","要確認")))))))</x:f>
      </x:c>
    </x:row>
    <x:row r="17" ht="30" customHeight="1">
      <x:c r="A17" s="17"/>
      <x:c r="B17" s="17"/>
      <x:c r="C17" s="17"/>
      <x:c r="D17" s="17"/>
      <x:c r="E17" s="17"/>
      <x:c r="F17" s="18"/>
      <x:c r="G17" s="17"/>
      <x:c r="H17" s="18"/>
      <x:c r="I17" s="17"/>
      <x:c r="J17" s="17"/>
      <x:c r="K17" s="17"/>
      <x:c r="L17" s="17" t="str">
        <x:f>IF(A17="","",IF(COUNTIF($A$7:$A$106,A17)&gt;1,"ID重複",IF(COUNTIF('試験定義'!$A$7:$A$42,B17)&lt;&gt;1,"TC参照不正",IF(AND(J17="はい",COUNTIFS($B$7:$B$106,B17,$C$7:$C$106,C17,$J$7:$J$106,"はい")&gt;1),"最終採用重複",IF(OR(G17="",G17="未実施"),"未実施",IF(OR(C17="",D17="",E17="",F17="",H17="",J17="",K17=""),"記録不足",IF(G17="合格","レビュー記録あり","要確認")))))))</x:f>
      </x:c>
    </x:row>
    <x:row r="18" ht="30" customHeight="1">
      <x:c r="A18" s="17"/>
      <x:c r="B18" s="17"/>
      <x:c r="C18" s="17"/>
      <x:c r="D18" s="17"/>
      <x:c r="E18" s="17"/>
      <x:c r="F18" s="18"/>
      <x:c r="G18" s="17"/>
      <x:c r="H18" s="18"/>
      <x:c r="I18" s="17"/>
      <x:c r="J18" s="17"/>
      <x:c r="K18" s="17"/>
      <x:c r="L18" s="17" t="str">
        <x:f>IF(A18="","",IF(COUNTIF($A$7:$A$106,A18)&gt;1,"ID重複",IF(COUNTIF('試験定義'!$A$7:$A$42,B18)&lt;&gt;1,"TC参照不正",IF(AND(J18="はい",COUNTIFS($B$7:$B$106,B18,$C$7:$C$106,C18,$J$7:$J$106,"はい")&gt;1),"最終採用重複",IF(OR(G18="",G18="未実施"),"未実施",IF(OR(C18="",D18="",E18="",F18="",H18="",J18="",K18=""),"記録不足",IF(G18="合格","レビュー記録あり","要確認")))))))</x:f>
      </x:c>
    </x:row>
    <x:row r="19" ht="30" customHeight="1">
      <x:c r="A19" s="17"/>
      <x:c r="B19" s="17"/>
      <x:c r="C19" s="17"/>
      <x:c r="D19" s="17"/>
      <x:c r="E19" s="17"/>
      <x:c r="F19" s="18"/>
      <x:c r="G19" s="17"/>
      <x:c r="H19" s="18"/>
      <x:c r="I19" s="17"/>
      <x:c r="J19" s="17"/>
      <x:c r="K19" s="17"/>
      <x:c r="L19" s="17" t="str">
        <x:f>IF(A19="","",IF(COUNTIF($A$7:$A$106,A19)&gt;1,"ID重複",IF(COUNTIF('試験定義'!$A$7:$A$42,B19)&lt;&gt;1,"TC参照不正",IF(AND(J19="はい",COUNTIFS($B$7:$B$106,B19,$C$7:$C$106,C19,$J$7:$J$106,"はい")&gt;1),"最終採用重複",IF(OR(G19="",G19="未実施"),"未実施",IF(OR(C19="",D19="",E19="",F19="",H19="",J19="",K19=""),"記録不足",IF(G19="合格","レビュー記録あり","要確認")))))))</x:f>
      </x:c>
    </x:row>
    <x:row r="20" ht="30" customHeight="1">
      <x:c r="A20" s="17"/>
      <x:c r="B20" s="17"/>
      <x:c r="C20" s="17"/>
      <x:c r="D20" s="17"/>
      <x:c r="E20" s="17"/>
      <x:c r="F20" s="18"/>
      <x:c r="G20" s="17"/>
      <x:c r="H20" s="18"/>
      <x:c r="I20" s="17"/>
      <x:c r="J20" s="17"/>
      <x:c r="K20" s="17"/>
      <x:c r="L20" s="17" t="str">
        <x:f>IF(A20="","",IF(COUNTIF($A$7:$A$106,A20)&gt;1,"ID重複",IF(COUNTIF('試験定義'!$A$7:$A$42,B20)&lt;&gt;1,"TC参照不正",IF(AND(J20="はい",COUNTIFS($B$7:$B$106,B20,$C$7:$C$106,C20,$J$7:$J$106,"はい")&gt;1),"最終採用重複",IF(OR(G20="",G20="未実施"),"未実施",IF(OR(C20="",D20="",E20="",F20="",H20="",J20="",K20=""),"記録不足",IF(G20="合格","レビュー記録あり","要確認")))))))</x:f>
      </x:c>
    </x:row>
    <x:row r="21" ht="30" customHeight="1">
      <x:c r="A21" s="17"/>
      <x:c r="B21" s="17"/>
      <x:c r="C21" s="17"/>
      <x:c r="D21" s="17"/>
      <x:c r="E21" s="17"/>
      <x:c r="F21" s="18"/>
      <x:c r="G21" s="17"/>
      <x:c r="H21" s="18"/>
      <x:c r="I21" s="17"/>
      <x:c r="J21" s="17"/>
      <x:c r="K21" s="17"/>
      <x:c r="L21" s="17" t="str">
        <x:f>IF(A21="","",IF(COUNTIF($A$7:$A$106,A21)&gt;1,"ID重複",IF(COUNTIF('試験定義'!$A$7:$A$42,B21)&lt;&gt;1,"TC参照不正",IF(AND(J21="はい",COUNTIFS($B$7:$B$106,B21,$C$7:$C$106,C21,$J$7:$J$106,"はい")&gt;1),"最終採用重複",IF(OR(G21="",G21="未実施"),"未実施",IF(OR(C21="",D21="",E21="",F21="",H21="",J21="",K21=""),"記録不足",IF(G21="合格","レビュー記録あり","要確認")))))))</x:f>
      </x:c>
    </x:row>
    <x:row r="22" ht="30" customHeight="1">
      <x:c r="A22" s="17"/>
      <x:c r="B22" s="17"/>
      <x:c r="C22" s="17"/>
      <x:c r="D22" s="17"/>
      <x:c r="E22" s="17"/>
      <x:c r="F22" s="18"/>
      <x:c r="G22" s="17"/>
      <x:c r="H22" s="18"/>
      <x:c r="I22" s="17"/>
      <x:c r="J22" s="17"/>
      <x:c r="K22" s="17"/>
      <x:c r="L22" s="17" t="str">
        <x:f>IF(A22="","",IF(COUNTIF($A$7:$A$106,A22)&gt;1,"ID重複",IF(COUNTIF('試験定義'!$A$7:$A$42,B22)&lt;&gt;1,"TC参照不正",IF(AND(J22="はい",COUNTIFS($B$7:$B$106,B22,$C$7:$C$106,C22,$J$7:$J$106,"はい")&gt;1),"最終採用重複",IF(OR(G22="",G22="未実施"),"未実施",IF(OR(C22="",D22="",E22="",F22="",H22="",J22="",K22=""),"記録不足",IF(G22="合格","レビュー記録あり","要確認")))))))</x:f>
      </x:c>
    </x:row>
    <x:row r="23" ht="30" customHeight="1">
      <x:c r="A23" s="17"/>
      <x:c r="B23" s="17"/>
      <x:c r="C23" s="17"/>
      <x:c r="D23" s="17"/>
      <x:c r="E23" s="17"/>
      <x:c r="F23" s="18"/>
      <x:c r="G23" s="17"/>
      <x:c r="H23" s="18"/>
      <x:c r="I23" s="17"/>
      <x:c r="J23" s="17"/>
      <x:c r="K23" s="17"/>
      <x:c r="L23" s="17" t="str">
        <x:f>IF(A23="","",IF(COUNTIF($A$7:$A$106,A23)&gt;1,"ID重複",IF(COUNTIF('試験定義'!$A$7:$A$42,B23)&lt;&gt;1,"TC参照不正",IF(AND(J23="はい",COUNTIFS($B$7:$B$106,B23,$C$7:$C$106,C23,$J$7:$J$106,"はい")&gt;1),"最終採用重複",IF(OR(G23="",G23="未実施"),"未実施",IF(OR(C23="",D23="",E23="",F23="",H23="",J23="",K23=""),"記録不足",IF(G23="合格","レビュー記録あり","要確認")))))))</x:f>
      </x:c>
    </x:row>
    <x:row r="24" ht="30" customHeight="1">
      <x:c r="A24" s="17"/>
      <x:c r="B24" s="17"/>
      <x:c r="C24" s="17"/>
      <x:c r="D24" s="17"/>
      <x:c r="E24" s="17"/>
      <x:c r="F24" s="18"/>
      <x:c r="G24" s="17"/>
      <x:c r="H24" s="18"/>
      <x:c r="I24" s="17"/>
      <x:c r="J24" s="17"/>
      <x:c r="K24" s="17"/>
      <x:c r="L24" s="17" t="str">
        <x:f>IF(A24="","",IF(COUNTIF($A$7:$A$106,A24)&gt;1,"ID重複",IF(COUNTIF('試験定義'!$A$7:$A$42,B24)&lt;&gt;1,"TC参照不正",IF(AND(J24="はい",COUNTIFS($B$7:$B$106,B24,$C$7:$C$106,C24,$J$7:$J$106,"はい")&gt;1),"最終採用重複",IF(OR(G24="",G24="未実施"),"未実施",IF(OR(C24="",D24="",E24="",F24="",H24="",J24="",K24=""),"記録不足",IF(G24="合格","レビュー記録あり","要確認")))))))</x:f>
      </x:c>
    </x:row>
    <x:row r="25" ht="30" customHeight="1">
      <x:c r="A25" s="17"/>
      <x:c r="B25" s="17"/>
      <x:c r="C25" s="17"/>
      <x:c r="D25" s="17"/>
      <x:c r="E25" s="17"/>
      <x:c r="F25" s="18"/>
      <x:c r="G25" s="17"/>
      <x:c r="H25" s="18"/>
      <x:c r="I25" s="17"/>
      <x:c r="J25" s="17"/>
      <x:c r="K25" s="17"/>
      <x:c r="L25" s="17" t="str">
        <x:f>IF(A25="","",IF(COUNTIF($A$7:$A$106,A25)&gt;1,"ID重複",IF(COUNTIF('試験定義'!$A$7:$A$42,B25)&lt;&gt;1,"TC参照不正",IF(AND(J25="はい",COUNTIFS($B$7:$B$106,B25,$C$7:$C$106,C25,$J$7:$J$106,"はい")&gt;1),"最終採用重複",IF(OR(G25="",G25="未実施"),"未実施",IF(OR(C25="",D25="",E25="",F25="",H25="",J25="",K25=""),"記録不足",IF(G25="合格","レビュー記録あり","要確認")))))))</x:f>
      </x:c>
    </x:row>
    <x:row r="26" ht="30" customHeight="1">
      <x:c r="A26" s="17"/>
      <x:c r="B26" s="17"/>
      <x:c r="C26" s="17"/>
      <x:c r="D26" s="17"/>
      <x:c r="E26" s="17"/>
      <x:c r="F26" s="18"/>
      <x:c r="G26" s="17"/>
      <x:c r="H26" s="18"/>
      <x:c r="I26" s="17"/>
      <x:c r="J26" s="17"/>
      <x:c r="K26" s="17"/>
      <x:c r="L26" s="17" t="str">
        <x:f>IF(A26="","",IF(COUNTIF($A$7:$A$106,A26)&gt;1,"ID重複",IF(COUNTIF('試験定義'!$A$7:$A$42,B26)&lt;&gt;1,"TC参照不正",IF(AND(J26="はい",COUNTIFS($B$7:$B$106,B26,$C$7:$C$106,C26,$J$7:$J$106,"はい")&gt;1),"最終採用重複",IF(OR(G26="",G26="未実施"),"未実施",IF(OR(C26="",D26="",E26="",F26="",H26="",J26="",K26=""),"記録不足",IF(G26="合格","レビュー記録あり","要確認")))))))</x:f>
      </x:c>
    </x:row>
    <x:row r="27" ht="30" customHeight="1">
      <x:c r="A27" s="17"/>
      <x:c r="B27" s="17"/>
      <x:c r="C27" s="17"/>
      <x:c r="D27" s="17"/>
      <x:c r="E27" s="17"/>
      <x:c r="F27" s="18"/>
      <x:c r="G27" s="17"/>
      <x:c r="H27" s="18"/>
      <x:c r="I27" s="17"/>
      <x:c r="J27" s="17"/>
      <x:c r="K27" s="17"/>
      <x:c r="L27" s="17" t="str">
        <x:f>IF(A27="","",IF(COUNTIF($A$7:$A$106,A27)&gt;1,"ID重複",IF(COUNTIF('試験定義'!$A$7:$A$42,B27)&lt;&gt;1,"TC参照不正",IF(AND(J27="はい",COUNTIFS($B$7:$B$106,B27,$C$7:$C$106,C27,$J$7:$J$106,"はい")&gt;1),"最終採用重複",IF(OR(G27="",G27="未実施"),"未実施",IF(OR(C27="",D27="",E27="",F27="",H27="",J27="",K27=""),"記録不足",IF(G27="合格","レビュー記録あり","要確認")))))))</x:f>
      </x:c>
    </x:row>
    <x:row r="28" ht="30" customHeight="1">
      <x:c r="A28" s="17"/>
      <x:c r="B28" s="17"/>
      <x:c r="C28" s="17"/>
      <x:c r="D28" s="17"/>
      <x:c r="E28" s="17"/>
      <x:c r="F28" s="18"/>
      <x:c r="G28" s="17"/>
      <x:c r="H28" s="18"/>
      <x:c r="I28" s="17"/>
      <x:c r="J28" s="17"/>
      <x:c r="K28" s="17"/>
      <x:c r="L28" s="17" t="str">
        <x:f>IF(A28="","",IF(COUNTIF($A$7:$A$106,A28)&gt;1,"ID重複",IF(COUNTIF('試験定義'!$A$7:$A$42,B28)&lt;&gt;1,"TC参照不正",IF(AND(J28="はい",COUNTIFS($B$7:$B$106,B28,$C$7:$C$106,C28,$J$7:$J$106,"はい")&gt;1),"最終採用重複",IF(OR(G28="",G28="未実施"),"未実施",IF(OR(C28="",D28="",E28="",F28="",H28="",J28="",K28=""),"記録不足",IF(G28="合格","レビュー記録あり","要確認")))))))</x:f>
      </x:c>
    </x:row>
    <x:row r="29" ht="30" customHeight="1">
      <x:c r="A29" s="17"/>
      <x:c r="B29" s="17"/>
      <x:c r="C29" s="17"/>
      <x:c r="D29" s="17"/>
      <x:c r="E29" s="17"/>
      <x:c r="F29" s="18"/>
      <x:c r="G29" s="17"/>
      <x:c r="H29" s="18"/>
      <x:c r="I29" s="17"/>
      <x:c r="J29" s="17"/>
      <x:c r="K29" s="17"/>
      <x:c r="L29" s="17" t="str">
        <x:f>IF(A29="","",IF(COUNTIF($A$7:$A$106,A29)&gt;1,"ID重複",IF(COUNTIF('試験定義'!$A$7:$A$42,B29)&lt;&gt;1,"TC参照不正",IF(AND(J29="はい",COUNTIFS($B$7:$B$106,B29,$C$7:$C$106,C29,$J$7:$J$106,"はい")&gt;1),"最終採用重複",IF(OR(G29="",G29="未実施"),"未実施",IF(OR(C29="",D29="",E29="",F29="",H29="",J29="",K29=""),"記録不足",IF(G29="合格","レビュー記録あり","要確認")))))))</x:f>
      </x:c>
    </x:row>
    <x:row r="30" ht="30" customHeight="1">
      <x:c r="A30" s="17"/>
      <x:c r="B30" s="17"/>
      <x:c r="C30" s="17"/>
      <x:c r="D30" s="17"/>
      <x:c r="E30" s="17"/>
      <x:c r="F30" s="18"/>
      <x:c r="G30" s="17"/>
      <x:c r="H30" s="18"/>
      <x:c r="I30" s="17"/>
      <x:c r="J30" s="17"/>
      <x:c r="K30" s="17"/>
      <x:c r="L30" s="17" t="str">
        <x:f>IF(A30="","",IF(COUNTIF($A$7:$A$106,A30)&gt;1,"ID重複",IF(COUNTIF('試験定義'!$A$7:$A$42,B30)&lt;&gt;1,"TC参照不正",IF(AND(J30="はい",COUNTIFS($B$7:$B$106,B30,$C$7:$C$106,C30,$J$7:$J$106,"はい")&gt;1),"最終採用重複",IF(OR(G30="",G30="未実施"),"未実施",IF(OR(C30="",D30="",E30="",F30="",H30="",J30="",K30=""),"記録不足",IF(G30="合格","レビュー記録あり","要確認")))))))</x:f>
      </x:c>
    </x:row>
    <x:row r="31" ht="30" customHeight="1">
      <x:c r="A31" s="17"/>
      <x:c r="B31" s="17"/>
      <x:c r="C31" s="17"/>
      <x:c r="D31" s="17"/>
      <x:c r="E31" s="17"/>
      <x:c r="F31" s="18"/>
      <x:c r="G31" s="17"/>
      <x:c r="H31" s="18"/>
      <x:c r="I31" s="17"/>
      <x:c r="J31" s="17"/>
      <x:c r="K31" s="17"/>
      <x:c r="L31" s="17" t="str">
        <x:f>IF(A31="","",IF(COUNTIF($A$7:$A$106,A31)&gt;1,"ID重複",IF(COUNTIF('試験定義'!$A$7:$A$42,B31)&lt;&gt;1,"TC参照不正",IF(AND(J31="はい",COUNTIFS($B$7:$B$106,B31,$C$7:$C$106,C31,$J$7:$J$106,"はい")&gt;1),"最終採用重複",IF(OR(G31="",G31="未実施"),"未実施",IF(OR(C31="",D31="",E31="",F31="",H31="",J31="",K31=""),"記録不足",IF(G31="合格","レビュー記録あり","要確認")))))))</x:f>
      </x:c>
    </x:row>
    <x:row r="32" ht="30" customHeight="1">
      <x:c r="A32" s="17"/>
      <x:c r="B32" s="17"/>
      <x:c r="C32" s="17"/>
      <x:c r="D32" s="17"/>
      <x:c r="E32" s="17"/>
      <x:c r="F32" s="18"/>
      <x:c r="G32" s="17"/>
      <x:c r="H32" s="18"/>
      <x:c r="I32" s="17"/>
      <x:c r="J32" s="17"/>
      <x:c r="K32" s="17"/>
      <x:c r="L32" s="17" t="str">
        <x:f>IF(A32="","",IF(COUNTIF($A$7:$A$106,A32)&gt;1,"ID重複",IF(COUNTIF('試験定義'!$A$7:$A$42,B32)&lt;&gt;1,"TC参照不正",IF(AND(J32="はい",COUNTIFS($B$7:$B$106,B32,$C$7:$C$106,C32,$J$7:$J$106,"はい")&gt;1),"最終採用重複",IF(OR(G32="",G32="未実施"),"未実施",IF(OR(C32="",D32="",E32="",F32="",H32="",J32="",K32=""),"記録不足",IF(G32="合格","レビュー記録あり","要確認")))))))</x:f>
      </x:c>
    </x:row>
    <x:row r="33" ht="30" customHeight="1">
      <x:c r="A33" s="17"/>
      <x:c r="B33" s="17"/>
      <x:c r="C33" s="17"/>
      <x:c r="D33" s="17"/>
      <x:c r="E33" s="17"/>
      <x:c r="F33" s="18"/>
      <x:c r="G33" s="17"/>
      <x:c r="H33" s="18"/>
      <x:c r="I33" s="17"/>
      <x:c r="J33" s="17"/>
      <x:c r="K33" s="17"/>
      <x:c r="L33" s="17" t="str">
        <x:f>IF(A33="","",IF(COUNTIF($A$7:$A$106,A33)&gt;1,"ID重複",IF(COUNTIF('試験定義'!$A$7:$A$42,B33)&lt;&gt;1,"TC参照不正",IF(AND(J33="はい",COUNTIFS($B$7:$B$106,B33,$C$7:$C$106,C33,$J$7:$J$106,"はい")&gt;1),"最終採用重複",IF(OR(G33="",G33="未実施"),"未実施",IF(OR(C33="",D33="",E33="",F33="",H33="",J33="",K33=""),"記録不足",IF(G33="合格","レビュー記録あり","要確認")))))))</x:f>
      </x:c>
    </x:row>
    <x:row r="34" ht="30" customHeight="1">
      <x:c r="A34" s="17"/>
      <x:c r="B34" s="17"/>
      <x:c r="C34" s="17"/>
      <x:c r="D34" s="17"/>
      <x:c r="E34" s="17"/>
      <x:c r="F34" s="18"/>
      <x:c r="G34" s="17"/>
      <x:c r="H34" s="18"/>
      <x:c r="I34" s="17"/>
      <x:c r="J34" s="17"/>
      <x:c r="K34" s="17"/>
      <x:c r="L34" s="17" t="str">
        <x:f>IF(A34="","",IF(COUNTIF($A$7:$A$106,A34)&gt;1,"ID重複",IF(COUNTIF('試験定義'!$A$7:$A$42,B34)&lt;&gt;1,"TC参照不正",IF(AND(J34="はい",COUNTIFS($B$7:$B$106,B34,$C$7:$C$106,C34,$J$7:$J$106,"はい")&gt;1),"最終採用重複",IF(OR(G34="",G34="未実施"),"未実施",IF(OR(C34="",D34="",E34="",F34="",H34="",J34="",K34=""),"記録不足",IF(G34="合格","レビュー記録あり","要確認")))))))</x:f>
      </x:c>
    </x:row>
    <x:row r="35" ht="30" customHeight="1">
      <x:c r="A35" s="17"/>
      <x:c r="B35" s="17"/>
      <x:c r="C35" s="17"/>
      <x:c r="D35" s="17"/>
      <x:c r="E35" s="17"/>
      <x:c r="F35" s="18"/>
      <x:c r="G35" s="17"/>
      <x:c r="H35" s="18"/>
      <x:c r="I35" s="17"/>
      <x:c r="J35" s="17"/>
      <x:c r="K35" s="17"/>
      <x:c r="L35" s="17" t="str">
        <x:f>IF(A35="","",IF(COUNTIF($A$7:$A$106,A35)&gt;1,"ID重複",IF(COUNTIF('試験定義'!$A$7:$A$42,B35)&lt;&gt;1,"TC参照不正",IF(AND(J35="はい",COUNTIFS($B$7:$B$106,B35,$C$7:$C$106,C35,$J$7:$J$106,"はい")&gt;1),"最終採用重複",IF(OR(G35="",G35="未実施"),"未実施",IF(OR(C35="",D35="",E35="",F35="",H35="",J35="",K35=""),"記録不足",IF(G35="合格","レビュー記録あり","要確認")))))))</x:f>
      </x:c>
    </x:row>
    <x:row r="36" ht="30" customHeight="1">
      <x:c r="A36" s="17"/>
      <x:c r="B36" s="17"/>
      <x:c r="C36" s="17"/>
      <x:c r="D36" s="17"/>
      <x:c r="E36" s="17"/>
      <x:c r="F36" s="18"/>
      <x:c r="G36" s="17"/>
      <x:c r="H36" s="18"/>
      <x:c r="I36" s="17"/>
      <x:c r="J36" s="17"/>
      <x:c r="K36" s="17"/>
      <x:c r="L36" s="17" t="str">
        <x:f>IF(A36="","",IF(COUNTIF($A$7:$A$106,A36)&gt;1,"ID重複",IF(COUNTIF('試験定義'!$A$7:$A$42,B36)&lt;&gt;1,"TC参照不正",IF(AND(J36="はい",COUNTIFS($B$7:$B$106,B36,$C$7:$C$106,C36,$J$7:$J$106,"はい")&gt;1),"最終採用重複",IF(OR(G36="",G36="未実施"),"未実施",IF(OR(C36="",D36="",E36="",F36="",H36="",J36="",K36=""),"記録不足",IF(G36="合格","レビュー記録あり","要確認")))))))</x:f>
      </x:c>
    </x:row>
    <x:row r="37" ht="30" customHeight="1">
      <x:c r="A37" s="17"/>
      <x:c r="B37" s="17"/>
      <x:c r="C37" s="17"/>
      <x:c r="D37" s="17"/>
      <x:c r="E37" s="17"/>
      <x:c r="F37" s="18"/>
      <x:c r="G37" s="17"/>
      <x:c r="H37" s="18"/>
      <x:c r="I37" s="17"/>
      <x:c r="J37" s="17"/>
      <x:c r="K37" s="17"/>
      <x:c r="L37" s="17" t="str">
        <x:f>IF(A37="","",IF(COUNTIF($A$7:$A$106,A37)&gt;1,"ID重複",IF(COUNTIF('試験定義'!$A$7:$A$42,B37)&lt;&gt;1,"TC参照不正",IF(AND(J37="はい",COUNTIFS($B$7:$B$106,B37,$C$7:$C$106,C37,$J$7:$J$106,"はい")&gt;1),"最終採用重複",IF(OR(G37="",G37="未実施"),"未実施",IF(OR(C37="",D37="",E37="",F37="",H37="",J37="",K37=""),"記録不足",IF(G37="合格","レビュー記録あり","要確認")))))))</x:f>
      </x:c>
    </x:row>
    <x:row r="38" ht="30" customHeight="1">
      <x:c r="A38" s="17"/>
      <x:c r="B38" s="17"/>
      <x:c r="C38" s="17"/>
      <x:c r="D38" s="17"/>
      <x:c r="E38" s="17"/>
      <x:c r="F38" s="18"/>
      <x:c r="G38" s="17"/>
      <x:c r="H38" s="18"/>
      <x:c r="I38" s="17"/>
      <x:c r="J38" s="17"/>
      <x:c r="K38" s="17"/>
      <x:c r="L38" s="17" t="str">
        <x:f>IF(A38="","",IF(COUNTIF($A$7:$A$106,A38)&gt;1,"ID重複",IF(COUNTIF('試験定義'!$A$7:$A$42,B38)&lt;&gt;1,"TC参照不正",IF(AND(J38="はい",COUNTIFS($B$7:$B$106,B38,$C$7:$C$106,C38,$J$7:$J$106,"はい")&gt;1),"最終採用重複",IF(OR(G38="",G38="未実施"),"未実施",IF(OR(C38="",D38="",E38="",F38="",H38="",J38="",K38=""),"記録不足",IF(G38="合格","レビュー記録あり","要確認")))))))</x:f>
      </x:c>
    </x:row>
    <x:row r="39" ht="30" customHeight="1">
      <x:c r="A39" s="17"/>
      <x:c r="B39" s="17"/>
      <x:c r="C39" s="17"/>
      <x:c r="D39" s="17"/>
      <x:c r="E39" s="17"/>
      <x:c r="F39" s="18"/>
      <x:c r="G39" s="17"/>
      <x:c r="H39" s="18"/>
      <x:c r="I39" s="17"/>
      <x:c r="J39" s="17"/>
      <x:c r="K39" s="17"/>
      <x:c r="L39" s="17" t="str">
        <x:f>IF(A39="","",IF(COUNTIF($A$7:$A$106,A39)&gt;1,"ID重複",IF(COUNTIF('試験定義'!$A$7:$A$42,B39)&lt;&gt;1,"TC参照不正",IF(AND(J39="はい",COUNTIFS($B$7:$B$106,B39,$C$7:$C$106,C39,$J$7:$J$106,"はい")&gt;1),"最終採用重複",IF(OR(G39="",G39="未実施"),"未実施",IF(OR(C39="",D39="",E39="",F39="",H39="",J39="",K39=""),"記録不足",IF(G39="合格","レビュー記録あり","要確認")))))))</x:f>
      </x:c>
    </x:row>
    <x:row r="40" ht="30" customHeight="1">
      <x:c r="A40" s="17"/>
      <x:c r="B40" s="17"/>
      <x:c r="C40" s="17"/>
      <x:c r="D40" s="17"/>
      <x:c r="E40" s="17"/>
      <x:c r="F40" s="18"/>
      <x:c r="G40" s="17"/>
      <x:c r="H40" s="18"/>
      <x:c r="I40" s="17"/>
      <x:c r="J40" s="17"/>
      <x:c r="K40" s="17"/>
      <x:c r="L40" s="17" t="str">
        <x:f>IF(A40="","",IF(COUNTIF($A$7:$A$106,A40)&gt;1,"ID重複",IF(COUNTIF('試験定義'!$A$7:$A$42,B40)&lt;&gt;1,"TC参照不正",IF(AND(J40="はい",COUNTIFS($B$7:$B$106,B40,$C$7:$C$106,C40,$J$7:$J$106,"はい")&gt;1),"最終採用重複",IF(OR(G40="",G40="未実施"),"未実施",IF(OR(C40="",D40="",E40="",F40="",H40="",J40="",K40=""),"記録不足",IF(G40="合格","レビュー記録あり","要確認")))))))</x:f>
      </x:c>
    </x:row>
    <x:row r="41" ht="30" customHeight="1">
      <x:c r="A41" s="17"/>
      <x:c r="B41" s="17"/>
      <x:c r="C41" s="17"/>
      <x:c r="D41" s="17"/>
      <x:c r="E41" s="17"/>
      <x:c r="F41" s="18"/>
      <x:c r="G41" s="17"/>
      <x:c r="H41" s="18"/>
      <x:c r="I41" s="17"/>
      <x:c r="J41" s="17"/>
      <x:c r="K41" s="17"/>
      <x:c r="L41" s="17" t="str">
        <x:f>IF(A41="","",IF(COUNTIF($A$7:$A$106,A41)&gt;1,"ID重複",IF(COUNTIF('試験定義'!$A$7:$A$42,B41)&lt;&gt;1,"TC参照不正",IF(AND(J41="はい",COUNTIFS($B$7:$B$106,B41,$C$7:$C$106,C41,$J$7:$J$106,"はい")&gt;1),"最終採用重複",IF(OR(G41="",G41="未実施"),"未実施",IF(OR(C41="",D41="",E41="",F41="",H41="",J41="",K41=""),"記録不足",IF(G41="合格","レビュー記録あり","要確認")))))))</x:f>
      </x:c>
    </x:row>
    <x:row r="42" ht="30" customHeight="1">
      <x:c r="A42" s="17"/>
      <x:c r="B42" s="17"/>
      <x:c r="C42" s="17"/>
      <x:c r="D42" s="17"/>
      <x:c r="E42" s="17"/>
      <x:c r="F42" s="18"/>
      <x:c r="G42" s="17"/>
      <x:c r="H42" s="18"/>
      <x:c r="I42" s="17"/>
      <x:c r="J42" s="17"/>
      <x:c r="K42" s="17"/>
      <x:c r="L42" s="17" t="str">
        <x:f>IF(A42="","",IF(COUNTIF($A$7:$A$106,A42)&gt;1,"ID重複",IF(COUNTIF('試験定義'!$A$7:$A$42,B42)&lt;&gt;1,"TC参照不正",IF(AND(J42="はい",COUNTIFS($B$7:$B$106,B42,$C$7:$C$106,C42,$J$7:$J$106,"はい")&gt;1),"最終採用重複",IF(OR(G42="",G42="未実施"),"未実施",IF(OR(C42="",D42="",E42="",F42="",H42="",J42="",K42=""),"記録不足",IF(G42="合格","レビュー記録あり","要確認")))))))</x:f>
      </x:c>
    </x:row>
    <x:row r="43" ht="30" customHeight="1">
      <x:c r="A43" s="17"/>
      <x:c r="B43" s="17"/>
      <x:c r="C43" s="17"/>
      <x:c r="D43" s="17"/>
      <x:c r="E43" s="17"/>
      <x:c r="F43" s="18"/>
      <x:c r="G43" s="17"/>
      <x:c r="H43" s="18"/>
      <x:c r="I43" s="17"/>
      <x:c r="J43" s="17"/>
      <x:c r="K43" s="17"/>
      <x:c r="L43" s="17" t="str">
        <x:f>IF(A43="","",IF(COUNTIF($A$7:$A$106,A43)&gt;1,"ID重複",IF(COUNTIF('試験定義'!$A$7:$A$42,B43)&lt;&gt;1,"TC参照不正",IF(AND(J43="はい",COUNTIFS($B$7:$B$106,B43,$C$7:$C$106,C43,$J$7:$J$106,"はい")&gt;1),"最終採用重複",IF(OR(G43="",G43="未実施"),"未実施",IF(OR(C43="",D43="",E43="",F43="",H43="",J43="",K43=""),"記録不足",IF(G43="合格","レビュー記録あり","要確認")))))))</x:f>
      </x:c>
    </x:row>
    <x:row r="44" ht="30" customHeight="1">
      <x:c r="A44" s="17"/>
      <x:c r="B44" s="17"/>
      <x:c r="C44" s="17"/>
      <x:c r="D44" s="17"/>
      <x:c r="E44" s="17"/>
      <x:c r="F44" s="18"/>
      <x:c r="G44" s="17"/>
      <x:c r="H44" s="18"/>
      <x:c r="I44" s="17"/>
      <x:c r="J44" s="17"/>
      <x:c r="K44" s="17"/>
      <x:c r="L44" s="17" t="str">
        <x:f>IF(A44="","",IF(COUNTIF($A$7:$A$106,A44)&gt;1,"ID重複",IF(COUNTIF('試験定義'!$A$7:$A$42,B44)&lt;&gt;1,"TC参照不正",IF(AND(J44="はい",COUNTIFS($B$7:$B$106,B44,$C$7:$C$106,C44,$J$7:$J$106,"はい")&gt;1),"最終採用重複",IF(OR(G44="",G44="未実施"),"未実施",IF(OR(C44="",D44="",E44="",F44="",H44="",J44="",K44=""),"記録不足",IF(G44="合格","レビュー記録あり","要確認")))))))</x:f>
      </x:c>
    </x:row>
    <x:row r="45" ht="30" customHeight="1">
      <x:c r="A45" s="17"/>
      <x:c r="B45" s="17"/>
      <x:c r="C45" s="17"/>
      <x:c r="D45" s="17"/>
      <x:c r="E45" s="17"/>
      <x:c r="F45" s="18"/>
      <x:c r="G45" s="17"/>
      <x:c r="H45" s="18"/>
      <x:c r="I45" s="17"/>
      <x:c r="J45" s="17"/>
      <x:c r="K45" s="17"/>
      <x:c r="L45" s="17" t="str">
        <x:f>IF(A45="","",IF(COUNTIF($A$7:$A$106,A45)&gt;1,"ID重複",IF(COUNTIF('試験定義'!$A$7:$A$42,B45)&lt;&gt;1,"TC参照不正",IF(AND(J45="はい",COUNTIFS($B$7:$B$106,B45,$C$7:$C$106,C45,$J$7:$J$106,"はい")&gt;1),"最終採用重複",IF(OR(G45="",G45="未実施"),"未実施",IF(OR(C45="",D45="",E45="",F45="",H45="",J45="",K45=""),"記録不足",IF(G45="合格","レビュー記録あり","要確認")))))))</x:f>
      </x:c>
    </x:row>
    <x:row r="46" ht="30" customHeight="1">
      <x:c r="A46" s="17"/>
      <x:c r="B46" s="17"/>
      <x:c r="C46" s="17"/>
      <x:c r="D46" s="17"/>
      <x:c r="E46" s="17"/>
      <x:c r="F46" s="18"/>
      <x:c r="G46" s="17"/>
      <x:c r="H46" s="18"/>
      <x:c r="I46" s="17"/>
      <x:c r="J46" s="17"/>
      <x:c r="K46" s="17"/>
      <x:c r="L46" s="17" t="str">
        <x:f>IF(A46="","",IF(COUNTIF($A$7:$A$106,A46)&gt;1,"ID重複",IF(COUNTIF('試験定義'!$A$7:$A$42,B46)&lt;&gt;1,"TC参照不正",IF(AND(J46="はい",COUNTIFS($B$7:$B$106,B46,$C$7:$C$106,C46,$J$7:$J$106,"はい")&gt;1),"最終採用重複",IF(OR(G46="",G46="未実施"),"未実施",IF(OR(C46="",D46="",E46="",F46="",H46="",J46="",K46=""),"記録不足",IF(G46="合格","レビュー記録あり","要確認")))))))</x:f>
      </x:c>
    </x:row>
    <x:row r="47" ht="30" customHeight="1">
      <x:c r="A47" s="17"/>
      <x:c r="B47" s="17"/>
      <x:c r="C47" s="17"/>
      <x:c r="D47" s="17"/>
      <x:c r="E47" s="17"/>
      <x:c r="F47" s="18"/>
      <x:c r="G47" s="17"/>
      <x:c r="H47" s="18"/>
      <x:c r="I47" s="17"/>
      <x:c r="J47" s="17"/>
      <x:c r="K47" s="17"/>
      <x:c r="L47" s="17" t="str">
        <x:f>IF(A47="","",IF(COUNTIF($A$7:$A$106,A47)&gt;1,"ID重複",IF(COUNTIF('試験定義'!$A$7:$A$42,B47)&lt;&gt;1,"TC参照不正",IF(AND(J47="はい",COUNTIFS($B$7:$B$106,B47,$C$7:$C$106,C47,$J$7:$J$106,"はい")&gt;1),"最終採用重複",IF(OR(G47="",G47="未実施"),"未実施",IF(OR(C47="",D47="",E47="",F47="",H47="",J47="",K47=""),"記録不足",IF(G47="合格","レビュー記録あり","要確認")))))))</x:f>
      </x:c>
    </x:row>
    <x:row r="48" ht="30" customHeight="1">
      <x:c r="A48" s="17"/>
      <x:c r="B48" s="17"/>
      <x:c r="C48" s="17"/>
      <x:c r="D48" s="17"/>
      <x:c r="E48" s="17"/>
      <x:c r="F48" s="18"/>
      <x:c r="G48" s="17"/>
      <x:c r="H48" s="18"/>
      <x:c r="I48" s="17"/>
      <x:c r="J48" s="17"/>
      <x:c r="K48" s="17"/>
      <x:c r="L48" s="17" t="str">
        <x:f>IF(A48="","",IF(COUNTIF($A$7:$A$106,A48)&gt;1,"ID重複",IF(COUNTIF('試験定義'!$A$7:$A$42,B48)&lt;&gt;1,"TC参照不正",IF(AND(J48="はい",COUNTIFS($B$7:$B$106,B48,$C$7:$C$106,C48,$J$7:$J$106,"はい")&gt;1),"最終採用重複",IF(OR(G48="",G48="未実施"),"未実施",IF(OR(C48="",D48="",E48="",F48="",H48="",J48="",K48=""),"記録不足",IF(G48="合格","レビュー記録あり","要確認")))))))</x:f>
      </x:c>
    </x:row>
    <x:row r="49" ht="30" customHeight="1">
      <x:c r="A49" s="17"/>
      <x:c r="B49" s="17"/>
      <x:c r="C49" s="17"/>
      <x:c r="D49" s="17"/>
      <x:c r="E49" s="17"/>
      <x:c r="F49" s="18"/>
      <x:c r="G49" s="17"/>
      <x:c r="H49" s="18"/>
      <x:c r="I49" s="17"/>
      <x:c r="J49" s="17"/>
      <x:c r="K49" s="17"/>
      <x:c r="L49" s="17" t="str">
        <x:f>IF(A49="","",IF(COUNTIF($A$7:$A$106,A49)&gt;1,"ID重複",IF(COUNTIF('試験定義'!$A$7:$A$42,B49)&lt;&gt;1,"TC参照不正",IF(AND(J49="はい",COUNTIFS($B$7:$B$106,B49,$C$7:$C$106,C49,$J$7:$J$106,"はい")&gt;1),"最終採用重複",IF(OR(G49="",G49="未実施"),"未実施",IF(OR(C49="",D49="",E49="",F49="",H49="",J49="",K49=""),"記録不足",IF(G49="合格","レビュー記録あり","要確認")))))))</x:f>
      </x:c>
    </x:row>
    <x:row r="50" ht="30" customHeight="1">
      <x:c r="A50" s="17"/>
      <x:c r="B50" s="17"/>
      <x:c r="C50" s="17"/>
      <x:c r="D50" s="17"/>
      <x:c r="E50" s="17"/>
      <x:c r="F50" s="18"/>
      <x:c r="G50" s="17"/>
      <x:c r="H50" s="18"/>
      <x:c r="I50" s="17"/>
      <x:c r="J50" s="17"/>
      <x:c r="K50" s="17"/>
      <x:c r="L50" s="17" t="str">
        <x:f>IF(A50="","",IF(COUNTIF($A$7:$A$106,A50)&gt;1,"ID重複",IF(COUNTIF('試験定義'!$A$7:$A$42,B50)&lt;&gt;1,"TC参照不正",IF(AND(J50="はい",COUNTIFS($B$7:$B$106,B50,$C$7:$C$106,C50,$J$7:$J$106,"はい")&gt;1),"最終採用重複",IF(OR(G50="",G50="未実施"),"未実施",IF(OR(C50="",D50="",E50="",F50="",H50="",J50="",K50=""),"記録不足",IF(G50="合格","レビュー記録あり","要確認")))))))</x:f>
      </x:c>
    </x:row>
    <x:row r="51" ht="30" customHeight="1">
      <x:c r="A51" s="17"/>
      <x:c r="B51" s="17"/>
      <x:c r="C51" s="17"/>
      <x:c r="D51" s="17"/>
      <x:c r="E51" s="17"/>
      <x:c r="F51" s="18"/>
      <x:c r="G51" s="17"/>
      <x:c r="H51" s="18"/>
      <x:c r="I51" s="17"/>
      <x:c r="J51" s="17"/>
      <x:c r="K51" s="17"/>
      <x:c r="L51" s="17" t="str">
        <x:f>IF(A51="","",IF(COUNTIF($A$7:$A$106,A51)&gt;1,"ID重複",IF(COUNTIF('試験定義'!$A$7:$A$42,B51)&lt;&gt;1,"TC参照不正",IF(AND(J51="はい",COUNTIFS($B$7:$B$106,B51,$C$7:$C$106,C51,$J$7:$J$106,"はい")&gt;1),"最終採用重複",IF(OR(G51="",G51="未実施"),"未実施",IF(OR(C51="",D51="",E51="",F51="",H51="",J51="",K51=""),"記録不足",IF(G51="合格","レビュー記録あり","要確認")))))))</x:f>
      </x:c>
    </x:row>
    <x:row r="52" ht="30" customHeight="1">
      <x:c r="A52" s="17"/>
      <x:c r="B52" s="17"/>
      <x:c r="C52" s="17"/>
      <x:c r="D52" s="17"/>
      <x:c r="E52" s="17"/>
      <x:c r="F52" s="18"/>
      <x:c r="G52" s="17"/>
      <x:c r="H52" s="18"/>
      <x:c r="I52" s="17"/>
      <x:c r="J52" s="17"/>
      <x:c r="K52" s="17"/>
      <x:c r="L52" s="17" t="str">
        <x:f>IF(A52="","",IF(COUNTIF($A$7:$A$106,A52)&gt;1,"ID重複",IF(COUNTIF('試験定義'!$A$7:$A$42,B52)&lt;&gt;1,"TC参照不正",IF(AND(J52="はい",COUNTIFS($B$7:$B$106,B52,$C$7:$C$106,C52,$J$7:$J$106,"はい")&gt;1),"最終採用重複",IF(OR(G52="",G52="未実施"),"未実施",IF(OR(C52="",D52="",E52="",F52="",H52="",J52="",K52=""),"記録不足",IF(G52="合格","レビュー記録あり","要確認")))))))</x:f>
      </x:c>
    </x:row>
    <x:row r="53" ht="30" customHeight="1">
      <x:c r="A53" s="17"/>
      <x:c r="B53" s="17"/>
      <x:c r="C53" s="17"/>
      <x:c r="D53" s="17"/>
      <x:c r="E53" s="17"/>
      <x:c r="F53" s="18"/>
      <x:c r="G53" s="17"/>
      <x:c r="H53" s="18"/>
      <x:c r="I53" s="17"/>
      <x:c r="J53" s="17"/>
      <x:c r="K53" s="17"/>
      <x:c r="L53" s="17" t="str">
        <x:f>IF(A53="","",IF(COUNTIF($A$7:$A$106,A53)&gt;1,"ID重複",IF(COUNTIF('試験定義'!$A$7:$A$42,B53)&lt;&gt;1,"TC参照不正",IF(AND(J53="はい",COUNTIFS($B$7:$B$106,B53,$C$7:$C$106,C53,$J$7:$J$106,"はい")&gt;1),"最終採用重複",IF(OR(G53="",G53="未実施"),"未実施",IF(OR(C53="",D53="",E53="",F53="",H53="",J53="",K53=""),"記録不足",IF(G53="合格","レビュー記録あり","要確認")))))))</x:f>
      </x:c>
    </x:row>
    <x:row r="54" ht="30" customHeight="1">
      <x:c r="A54" s="17"/>
      <x:c r="B54" s="17"/>
      <x:c r="C54" s="17"/>
      <x:c r="D54" s="17"/>
      <x:c r="E54" s="17"/>
      <x:c r="F54" s="18"/>
      <x:c r="G54" s="17"/>
      <x:c r="H54" s="18"/>
      <x:c r="I54" s="17"/>
      <x:c r="J54" s="17"/>
      <x:c r="K54" s="17"/>
      <x:c r="L54" s="17" t="str">
        <x:f>IF(A54="","",IF(COUNTIF($A$7:$A$106,A54)&gt;1,"ID重複",IF(COUNTIF('試験定義'!$A$7:$A$42,B54)&lt;&gt;1,"TC参照不正",IF(AND(J54="はい",COUNTIFS($B$7:$B$106,B54,$C$7:$C$106,C54,$J$7:$J$106,"はい")&gt;1),"最終採用重複",IF(OR(G54="",G54="未実施"),"未実施",IF(OR(C54="",D54="",E54="",F54="",H54="",J54="",K54=""),"記録不足",IF(G54="合格","レビュー記録あり","要確認")))))))</x:f>
      </x:c>
    </x:row>
    <x:row r="55" ht="30" customHeight="1">
      <x:c r="A55" s="17"/>
      <x:c r="B55" s="17"/>
      <x:c r="C55" s="17"/>
      <x:c r="D55" s="17"/>
      <x:c r="E55" s="17"/>
      <x:c r="F55" s="18"/>
      <x:c r="G55" s="17"/>
      <x:c r="H55" s="18"/>
      <x:c r="I55" s="17"/>
      <x:c r="J55" s="17"/>
      <x:c r="K55" s="17"/>
      <x:c r="L55" s="17" t="str">
        <x:f>IF(A55="","",IF(COUNTIF($A$7:$A$106,A55)&gt;1,"ID重複",IF(COUNTIF('試験定義'!$A$7:$A$42,B55)&lt;&gt;1,"TC参照不正",IF(AND(J55="はい",COUNTIFS($B$7:$B$106,B55,$C$7:$C$106,C55,$J$7:$J$106,"はい")&gt;1),"最終採用重複",IF(OR(G55="",G55="未実施"),"未実施",IF(OR(C55="",D55="",E55="",F55="",H55="",J55="",K55=""),"記録不足",IF(G55="合格","レビュー記録あり","要確認")))))))</x:f>
      </x:c>
    </x:row>
    <x:row r="56" ht="30" customHeight="1">
      <x:c r="A56" s="17"/>
      <x:c r="B56" s="17"/>
      <x:c r="C56" s="17"/>
      <x:c r="D56" s="17"/>
      <x:c r="E56" s="17"/>
      <x:c r="F56" s="18"/>
      <x:c r="G56" s="17"/>
      <x:c r="H56" s="18"/>
      <x:c r="I56" s="17"/>
      <x:c r="J56" s="17"/>
      <x:c r="K56" s="17"/>
      <x:c r="L56" s="17" t="str">
        <x:f>IF(A56="","",IF(COUNTIF($A$7:$A$106,A56)&gt;1,"ID重複",IF(COUNTIF('試験定義'!$A$7:$A$42,B56)&lt;&gt;1,"TC参照不正",IF(AND(J56="はい",COUNTIFS($B$7:$B$106,B56,$C$7:$C$106,C56,$J$7:$J$106,"はい")&gt;1),"最終採用重複",IF(OR(G56="",G56="未実施"),"未実施",IF(OR(C56="",D56="",E56="",F56="",H56="",J56="",K56=""),"記録不足",IF(G56="合格","レビュー記録あり","要確認")))))))</x:f>
      </x:c>
    </x:row>
    <x:row r="57" ht="30" customHeight="1">
      <x:c r="A57" s="17"/>
      <x:c r="B57" s="17"/>
      <x:c r="C57" s="17"/>
      <x:c r="D57" s="17"/>
      <x:c r="E57" s="17"/>
      <x:c r="F57" s="18"/>
      <x:c r="G57" s="17"/>
      <x:c r="H57" s="18"/>
      <x:c r="I57" s="17"/>
      <x:c r="J57" s="17"/>
      <x:c r="K57" s="17"/>
      <x:c r="L57" s="17" t="str">
        <x:f>IF(A57="","",IF(COUNTIF($A$7:$A$106,A57)&gt;1,"ID重複",IF(COUNTIF('試験定義'!$A$7:$A$42,B57)&lt;&gt;1,"TC参照不正",IF(AND(J57="はい",COUNTIFS($B$7:$B$106,B57,$C$7:$C$106,C57,$J$7:$J$106,"はい")&gt;1),"最終採用重複",IF(OR(G57="",G57="未実施"),"未実施",IF(OR(C57="",D57="",E57="",F57="",H57="",J57="",K57=""),"記録不足",IF(G57="合格","レビュー記録あり","要確認")))))))</x:f>
      </x:c>
    </x:row>
    <x:row r="58" ht="30" customHeight="1">
      <x:c r="A58" s="17"/>
      <x:c r="B58" s="17"/>
      <x:c r="C58" s="17"/>
      <x:c r="D58" s="17"/>
      <x:c r="E58" s="17"/>
      <x:c r="F58" s="18"/>
      <x:c r="G58" s="17"/>
      <x:c r="H58" s="18"/>
      <x:c r="I58" s="17"/>
      <x:c r="J58" s="17"/>
      <x:c r="K58" s="17"/>
      <x:c r="L58" s="17" t="str">
        <x:f>IF(A58="","",IF(COUNTIF($A$7:$A$106,A58)&gt;1,"ID重複",IF(COUNTIF('試験定義'!$A$7:$A$42,B58)&lt;&gt;1,"TC参照不正",IF(AND(J58="はい",COUNTIFS($B$7:$B$106,B58,$C$7:$C$106,C58,$J$7:$J$106,"はい")&gt;1),"最終採用重複",IF(OR(G58="",G58="未実施"),"未実施",IF(OR(C58="",D58="",E58="",F58="",H58="",J58="",K58=""),"記録不足",IF(G58="合格","レビュー記録あり","要確認")))))))</x:f>
      </x:c>
    </x:row>
    <x:row r="59" ht="30" customHeight="1">
      <x:c r="A59" s="17"/>
      <x:c r="B59" s="17"/>
      <x:c r="C59" s="17"/>
      <x:c r="D59" s="17"/>
      <x:c r="E59" s="17"/>
      <x:c r="F59" s="18"/>
      <x:c r="G59" s="17"/>
      <x:c r="H59" s="18"/>
      <x:c r="I59" s="17"/>
      <x:c r="J59" s="17"/>
      <x:c r="K59" s="17"/>
      <x:c r="L59" s="17" t="str">
        <x:f>IF(A59="","",IF(COUNTIF($A$7:$A$106,A59)&gt;1,"ID重複",IF(COUNTIF('試験定義'!$A$7:$A$42,B59)&lt;&gt;1,"TC参照不正",IF(AND(J59="はい",COUNTIFS($B$7:$B$106,B59,$C$7:$C$106,C59,$J$7:$J$106,"はい")&gt;1),"最終採用重複",IF(OR(G59="",G59="未実施"),"未実施",IF(OR(C59="",D59="",E59="",F59="",H59="",J59="",K59=""),"記録不足",IF(G59="合格","レビュー記録あり","要確認")))))))</x:f>
      </x:c>
    </x:row>
    <x:row r="60" ht="30" customHeight="1">
      <x:c r="A60" s="17"/>
      <x:c r="B60" s="17"/>
      <x:c r="C60" s="17"/>
      <x:c r="D60" s="17"/>
      <x:c r="E60" s="17"/>
      <x:c r="F60" s="18"/>
      <x:c r="G60" s="17"/>
      <x:c r="H60" s="18"/>
      <x:c r="I60" s="17"/>
      <x:c r="J60" s="17"/>
      <x:c r="K60" s="17"/>
      <x:c r="L60" s="17" t="str">
        <x:f>IF(A60="","",IF(COUNTIF($A$7:$A$106,A60)&gt;1,"ID重複",IF(COUNTIF('試験定義'!$A$7:$A$42,B60)&lt;&gt;1,"TC参照不正",IF(AND(J60="はい",COUNTIFS($B$7:$B$106,B60,$C$7:$C$106,C60,$J$7:$J$106,"はい")&gt;1),"最終採用重複",IF(OR(G60="",G60="未実施"),"未実施",IF(OR(C60="",D60="",E60="",F60="",H60="",J60="",K60=""),"記録不足",IF(G60="合格","レビュー記録あり","要確認")))))))</x:f>
      </x:c>
    </x:row>
    <x:row r="61" ht="30" customHeight="1">
      <x:c r="A61" s="17"/>
      <x:c r="B61" s="17"/>
      <x:c r="C61" s="17"/>
      <x:c r="D61" s="17"/>
      <x:c r="E61" s="17"/>
      <x:c r="F61" s="18"/>
      <x:c r="G61" s="17"/>
      <x:c r="H61" s="18"/>
      <x:c r="I61" s="17"/>
      <x:c r="J61" s="17"/>
      <x:c r="K61" s="17"/>
      <x:c r="L61" s="17" t="str">
        <x:f>IF(A61="","",IF(COUNTIF($A$7:$A$106,A61)&gt;1,"ID重複",IF(COUNTIF('試験定義'!$A$7:$A$42,B61)&lt;&gt;1,"TC参照不正",IF(AND(J61="はい",COUNTIFS($B$7:$B$106,B61,$C$7:$C$106,C61,$J$7:$J$106,"はい")&gt;1),"最終採用重複",IF(OR(G61="",G61="未実施"),"未実施",IF(OR(C61="",D61="",E61="",F61="",H61="",J61="",K61=""),"記録不足",IF(G61="合格","レビュー記録あり","要確認")))))))</x:f>
      </x:c>
    </x:row>
    <x:row r="62" ht="30" customHeight="1">
      <x:c r="A62" s="17"/>
      <x:c r="B62" s="17"/>
      <x:c r="C62" s="17"/>
      <x:c r="D62" s="17"/>
      <x:c r="E62" s="17"/>
      <x:c r="F62" s="18"/>
      <x:c r="G62" s="17"/>
      <x:c r="H62" s="18"/>
      <x:c r="I62" s="17"/>
      <x:c r="J62" s="17"/>
      <x:c r="K62" s="17"/>
      <x:c r="L62" s="17" t="str">
        <x:f>IF(A62="","",IF(COUNTIF($A$7:$A$106,A62)&gt;1,"ID重複",IF(COUNTIF('試験定義'!$A$7:$A$42,B62)&lt;&gt;1,"TC参照不正",IF(AND(J62="はい",COUNTIFS($B$7:$B$106,B62,$C$7:$C$106,C62,$J$7:$J$106,"はい")&gt;1),"最終採用重複",IF(OR(G62="",G62="未実施"),"未実施",IF(OR(C62="",D62="",E62="",F62="",H62="",J62="",K62=""),"記録不足",IF(G62="合格","レビュー記録あり","要確認")))))))</x:f>
      </x:c>
    </x:row>
    <x:row r="63" ht="30" customHeight="1">
      <x:c r="A63" s="17"/>
      <x:c r="B63" s="17"/>
      <x:c r="C63" s="17"/>
      <x:c r="D63" s="17"/>
      <x:c r="E63" s="17"/>
      <x:c r="F63" s="18"/>
      <x:c r="G63" s="17"/>
      <x:c r="H63" s="18"/>
      <x:c r="I63" s="17"/>
      <x:c r="J63" s="17"/>
      <x:c r="K63" s="17"/>
      <x:c r="L63" s="17" t="str">
        <x:f>IF(A63="","",IF(COUNTIF($A$7:$A$106,A63)&gt;1,"ID重複",IF(COUNTIF('試験定義'!$A$7:$A$42,B63)&lt;&gt;1,"TC参照不正",IF(AND(J63="はい",COUNTIFS($B$7:$B$106,B63,$C$7:$C$106,C63,$J$7:$J$106,"はい")&gt;1),"最終採用重複",IF(OR(G63="",G63="未実施"),"未実施",IF(OR(C63="",D63="",E63="",F63="",H63="",J63="",K63=""),"記録不足",IF(G63="合格","レビュー記録あり","要確認")))))))</x:f>
      </x:c>
    </x:row>
    <x:row r="64" ht="30" customHeight="1">
      <x:c r="A64" s="17"/>
      <x:c r="B64" s="17"/>
      <x:c r="C64" s="17"/>
      <x:c r="D64" s="17"/>
      <x:c r="E64" s="17"/>
      <x:c r="F64" s="18"/>
      <x:c r="G64" s="17"/>
      <x:c r="H64" s="18"/>
      <x:c r="I64" s="17"/>
      <x:c r="J64" s="17"/>
      <x:c r="K64" s="17"/>
      <x:c r="L64" s="17" t="str">
        <x:f>IF(A64="","",IF(COUNTIF($A$7:$A$106,A64)&gt;1,"ID重複",IF(COUNTIF('試験定義'!$A$7:$A$42,B64)&lt;&gt;1,"TC参照不正",IF(AND(J64="はい",COUNTIFS($B$7:$B$106,B64,$C$7:$C$106,C64,$J$7:$J$106,"はい")&gt;1),"最終採用重複",IF(OR(G64="",G64="未実施"),"未実施",IF(OR(C64="",D64="",E64="",F64="",H64="",J64="",K64=""),"記録不足",IF(G64="合格","レビュー記録あり","要確認")))))))</x:f>
      </x:c>
    </x:row>
    <x:row r="65" ht="30" customHeight="1">
      <x:c r="A65" s="17"/>
      <x:c r="B65" s="17"/>
      <x:c r="C65" s="17"/>
      <x:c r="D65" s="17"/>
      <x:c r="E65" s="17"/>
      <x:c r="F65" s="18"/>
      <x:c r="G65" s="17"/>
      <x:c r="H65" s="18"/>
      <x:c r="I65" s="17"/>
      <x:c r="J65" s="17"/>
      <x:c r="K65" s="17"/>
      <x:c r="L65" s="17" t="str">
        <x:f>IF(A65="","",IF(COUNTIF($A$7:$A$106,A65)&gt;1,"ID重複",IF(COUNTIF('試験定義'!$A$7:$A$42,B65)&lt;&gt;1,"TC参照不正",IF(AND(J65="はい",COUNTIFS($B$7:$B$106,B65,$C$7:$C$106,C65,$J$7:$J$106,"はい")&gt;1),"最終採用重複",IF(OR(G65="",G65="未実施"),"未実施",IF(OR(C65="",D65="",E65="",F65="",H65="",J65="",K65=""),"記録不足",IF(G65="合格","レビュー記録あり","要確認")))))))</x:f>
      </x:c>
    </x:row>
    <x:row r="66" ht="30" customHeight="1">
      <x:c r="A66" s="17"/>
      <x:c r="B66" s="17"/>
      <x:c r="C66" s="17"/>
      <x:c r="D66" s="17"/>
      <x:c r="E66" s="17"/>
      <x:c r="F66" s="18"/>
      <x:c r="G66" s="17"/>
      <x:c r="H66" s="18"/>
      <x:c r="I66" s="17"/>
      <x:c r="J66" s="17"/>
      <x:c r="K66" s="17"/>
      <x:c r="L66" s="17" t="str">
        <x:f>IF(A66="","",IF(COUNTIF($A$7:$A$106,A66)&gt;1,"ID重複",IF(COUNTIF('試験定義'!$A$7:$A$42,B66)&lt;&gt;1,"TC参照不正",IF(AND(J66="はい",COUNTIFS($B$7:$B$106,B66,$C$7:$C$106,C66,$J$7:$J$106,"はい")&gt;1),"最終採用重複",IF(OR(G66="",G66="未実施"),"未実施",IF(OR(C66="",D66="",E66="",F66="",H66="",J66="",K66=""),"記録不足",IF(G66="合格","レビュー記録あり","要確認")))))))</x:f>
      </x:c>
    </x:row>
    <x:row r="67" ht="30" customHeight="1">
      <x:c r="A67" s="17"/>
      <x:c r="B67" s="17"/>
      <x:c r="C67" s="17"/>
      <x:c r="D67" s="17"/>
      <x:c r="E67" s="17"/>
      <x:c r="F67" s="18"/>
      <x:c r="G67" s="17"/>
      <x:c r="H67" s="18"/>
      <x:c r="I67" s="17"/>
      <x:c r="J67" s="17"/>
      <x:c r="K67" s="17"/>
      <x:c r="L67" s="17" t="str">
        <x:f>IF(A67="","",IF(COUNTIF($A$7:$A$106,A67)&gt;1,"ID重複",IF(COUNTIF('試験定義'!$A$7:$A$42,B67)&lt;&gt;1,"TC参照不正",IF(AND(J67="はい",COUNTIFS($B$7:$B$106,B67,$C$7:$C$106,C67,$J$7:$J$106,"はい")&gt;1),"最終採用重複",IF(OR(G67="",G67="未実施"),"未実施",IF(OR(C67="",D67="",E67="",F67="",H67="",J67="",K67=""),"記録不足",IF(G67="合格","レビュー記録あり","要確認")))))))</x:f>
      </x:c>
    </x:row>
    <x:row r="68" ht="30" customHeight="1">
      <x:c r="A68" s="17"/>
      <x:c r="B68" s="17"/>
      <x:c r="C68" s="17"/>
      <x:c r="D68" s="17"/>
      <x:c r="E68" s="17"/>
      <x:c r="F68" s="18"/>
      <x:c r="G68" s="17"/>
      <x:c r="H68" s="18"/>
      <x:c r="I68" s="17"/>
      <x:c r="J68" s="17"/>
      <x:c r="K68" s="17"/>
      <x:c r="L68" s="17" t="str">
        <x:f>IF(A68="","",IF(COUNTIF($A$7:$A$106,A68)&gt;1,"ID重複",IF(COUNTIF('試験定義'!$A$7:$A$42,B68)&lt;&gt;1,"TC参照不正",IF(AND(J68="はい",COUNTIFS($B$7:$B$106,B68,$C$7:$C$106,C68,$J$7:$J$106,"はい")&gt;1),"最終採用重複",IF(OR(G68="",G68="未実施"),"未実施",IF(OR(C68="",D68="",E68="",F68="",H68="",J68="",K68=""),"記録不足",IF(G68="合格","レビュー記録あり","要確認")))))))</x:f>
      </x:c>
    </x:row>
    <x:row r="69" ht="30" customHeight="1">
      <x:c r="A69" s="17"/>
      <x:c r="B69" s="17"/>
      <x:c r="C69" s="17"/>
      <x:c r="D69" s="17"/>
      <x:c r="E69" s="17"/>
      <x:c r="F69" s="18"/>
      <x:c r="G69" s="17"/>
      <x:c r="H69" s="18"/>
      <x:c r="I69" s="17"/>
      <x:c r="J69" s="17"/>
      <x:c r="K69" s="17"/>
      <x:c r="L69" s="17" t="str">
        <x:f>IF(A69="","",IF(COUNTIF($A$7:$A$106,A69)&gt;1,"ID重複",IF(COUNTIF('試験定義'!$A$7:$A$42,B69)&lt;&gt;1,"TC参照不正",IF(AND(J69="はい",COUNTIFS($B$7:$B$106,B69,$C$7:$C$106,C69,$J$7:$J$106,"はい")&gt;1),"最終採用重複",IF(OR(G69="",G69="未実施"),"未実施",IF(OR(C69="",D69="",E69="",F69="",H69="",J69="",K69=""),"記録不足",IF(G69="合格","レビュー記録あり","要確認")))))))</x:f>
      </x:c>
    </x:row>
    <x:row r="70" ht="30" customHeight="1">
      <x:c r="A70" s="17"/>
      <x:c r="B70" s="17"/>
      <x:c r="C70" s="17"/>
      <x:c r="D70" s="17"/>
      <x:c r="E70" s="17"/>
      <x:c r="F70" s="18"/>
      <x:c r="G70" s="17"/>
      <x:c r="H70" s="18"/>
      <x:c r="I70" s="17"/>
      <x:c r="J70" s="17"/>
      <x:c r="K70" s="17"/>
      <x:c r="L70" s="17" t="str">
        <x:f>IF(A70="","",IF(COUNTIF($A$7:$A$106,A70)&gt;1,"ID重複",IF(COUNTIF('試験定義'!$A$7:$A$42,B70)&lt;&gt;1,"TC参照不正",IF(AND(J70="はい",COUNTIFS($B$7:$B$106,B70,$C$7:$C$106,C70,$J$7:$J$106,"はい")&gt;1),"最終採用重複",IF(OR(G70="",G70="未実施"),"未実施",IF(OR(C70="",D70="",E70="",F70="",H70="",J70="",K70=""),"記録不足",IF(G70="合格","レビュー記録あり","要確認")))))))</x:f>
      </x:c>
    </x:row>
    <x:row r="71" ht="30" customHeight="1">
      <x:c r="A71" s="17"/>
      <x:c r="B71" s="17"/>
      <x:c r="C71" s="17"/>
      <x:c r="D71" s="17"/>
      <x:c r="E71" s="17"/>
      <x:c r="F71" s="18"/>
      <x:c r="G71" s="17"/>
      <x:c r="H71" s="18"/>
      <x:c r="I71" s="17"/>
      <x:c r="J71" s="17"/>
      <x:c r="K71" s="17"/>
      <x:c r="L71" s="17" t="str">
        <x:f>IF(A71="","",IF(COUNTIF($A$7:$A$106,A71)&gt;1,"ID重複",IF(COUNTIF('試験定義'!$A$7:$A$42,B71)&lt;&gt;1,"TC参照不正",IF(AND(J71="はい",COUNTIFS($B$7:$B$106,B71,$C$7:$C$106,C71,$J$7:$J$106,"はい")&gt;1),"最終採用重複",IF(OR(G71="",G71="未実施"),"未実施",IF(OR(C71="",D71="",E71="",F71="",H71="",J71="",K71=""),"記録不足",IF(G71="合格","レビュー記録あり","要確認")))))))</x:f>
      </x:c>
    </x:row>
    <x:row r="72" ht="30" customHeight="1">
      <x:c r="A72" s="17"/>
      <x:c r="B72" s="17"/>
      <x:c r="C72" s="17"/>
      <x:c r="D72" s="17"/>
      <x:c r="E72" s="17"/>
      <x:c r="F72" s="18"/>
      <x:c r="G72" s="17"/>
      <x:c r="H72" s="18"/>
      <x:c r="I72" s="17"/>
      <x:c r="J72" s="17"/>
      <x:c r="K72" s="17"/>
      <x:c r="L72" s="17" t="str">
        <x:f>IF(A72="","",IF(COUNTIF($A$7:$A$106,A72)&gt;1,"ID重複",IF(COUNTIF('試験定義'!$A$7:$A$42,B72)&lt;&gt;1,"TC参照不正",IF(AND(J72="はい",COUNTIFS($B$7:$B$106,B72,$C$7:$C$106,C72,$J$7:$J$106,"はい")&gt;1),"最終採用重複",IF(OR(G72="",G72="未実施"),"未実施",IF(OR(C72="",D72="",E72="",F72="",H72="",J72="",K72=""),"記録不足",IF(G72="合格","レビュー記録あり","要確認")))))))</x:f>
      </x:c>
    </x:row>
    <x:row r="73" ht="30" customHeight="1">
      <x:c r="A73" s="17"/>
      <x:c r="B73" s="17"/>
      <x:c r="C73" s="17"/>
      <x:c r="D73" s="17"/>
      <x:c r="E73" s="17"/>
      <x:c r="F73" s="18"/>
      <x:c r="G73" s="17"/>
      <x:c r="H73" s="18"/>
      <x:c r="I73" s="17"/>
      <x:c r="J73" s="17"/>
      <x:c r="K73" s="17"/>
      <x:c r="L73" s="17" t="str">
        <x:f>IF(A73="","",IF(COUNTIF($A$7:$A$106,A73)&gt;1,"ID重複",IF(COUNTIF('試験定義'!$A$7:$A$42,B73)&lt;&gt;1,"TC参照不正",IF(AND(J73="はい",COUNTIFS($B$7:$B$106,B73,$C$7:$C$106,C73,$J$7:$J$106,"はい")&gt;1),"最終採用重複",IF(OR(G73="",G73="未実施"),"未実施",IF(OR(C73="",D73="",E73="",F73="",H73="",J73="",K73=""),"記録不足",IF(G73="合格","レビュー記録あり","要確認")))))))</x:f>
      </x:c>
    </x:row>
    <x:row r="74" ht="30" customHeight="1">
      <x:c r="A74" s="17"/>
      <x:c r="B74" s="17"/>
      <x:c r="C74" s="17"/>
      <x:c r="D74" s="17"/>
      <x:c r="E74" s="17"/>
      <x:c r="F74" s="18"/>
      <x:c r="G74" s="17"/>
      <x:c r="H74" s="18"/>
      <x:c r="I74" s="17"/>
      <x:c r="J74" s="17"/>
      <x:c r="K74" s="17"/>
      <x:c r="L74" s="17" t="str">
        <x:f>IF(A74="","",IF(COUNTIF($A$7:$A$106,A74)&gt;1,"ID重複",IF(COUNTIF('試験定義'!$A$7:$A$42,B74)&lt;&gt;1,"TC参照不正",IF(AND(J74="はい",COUNTIFS($B$7:$B$106,B74,$C$7:$C$106,C74,$J$7:$J$106,"はい")&gt;1),"最終採用重複",IF(OR(G74="",G74="未実施"),"未実施",IF(OR(C74="",D74="",E74="",F74="",H74="",J74="",K74=""),"記録不足",IF(G74="合格","レビュー記録あり","要確認")))))))</x:f>
      </x:c>
    </x:row>
    <x:row r="75" ht="30" customHeight="1">
      <x:c r="A75" s="17"/>
      <x:c r="B75" s="17"/>
      <x:c r="C75" s="17"/>
      <x:c r="D75" s="17"/>
      <x:c r="E75" s="17"/>
      <x:c r="F75" s="18"/>
      <x:c r="G75" s="17"/>
      <x:c r="H75" s="18"/>
      <x:c r="I75" s="17"/>
      <x:c r="J75" s="17"/>
      <x:c r="K75" s="17"/>
      <x:c r="L75" s="17" t="str">
        <x:f>IF(A75="","",IF(COUNTIF($A$7:$A$106,A75)&gt;1,"ID重複",IF(COUNTIF('試験定義'!$A$7:$A$42,B75)&lt;&gt;1,"TC参照不正",IF(AND(J75="はい",COUNTIFS($B$7:$B$106,B75,$C$7:$C$106,C75,$J$7:$J$106,"はい")&gt;1),"最終採用重複",IF(OR(G75="",G75="未実施"),"未実施",IF(OR(C75="",D75="",E75="",F75="",H75="",J75="",K75=""),"記録不足",IF(G75="合格","レビュー記録あり","要確認")))))))</x:f>
      </x:c>
    </x:row>
    <x:row r="76" ht="30" customHeight="1">
      <x:c r="A76" s="17"/>
      <x:c r="B76" s="17"/>
      <x:c r="C76" s="17"/>
      <x:c r="D76" s="17"/>
      <x:c r="E76" s="17"/>
      <x:c r="F76" s="18"/>
      <x:c r="G76" s="17"/>
      <x:c r="H76" s="18"/>
      <x:c r="I76" s="17"/>
      <x:c r="J76" s="17"/>
      <x:c r="K76" s="17"/>
      <x:c r="L76" s="17" t="str">
        <x:f>IF(A76="","",IF(COUNTIF($A$7:$A$106,A76)&gt;1,"ID重複",IF(COUNTIF('試験定義'!$A$7:$A$42,B76)&lt;&gt;1,"TC参照不正",IF(AND(J76="はい",COUNTIFS($B$7:$B$106,B76,$C$7:$C$106,C76,$J$7:$J$106,"はい")&gt;1),"最終採用重複",IF(OR(G76="",G76="未実施"),"未実施",IF(OR(C76="",D76="",E76="",F76="",H76="",J76="",K76=""),"記録不足",IF(G76="合格","レビュー記録あり","要確認")))))))</x:f>
      </x:c>
    </x:row>
    <x:row r="77" ht="30" customHeight="1">
      <x:c r="A77" s="17"/>
      <x:c r="B77" s="17"/>
      <x:c r="C77" s="17"/>
      <x:c r="D77" s="17"/>
      <x:c r="E77" s="17"/>
      <x:c r="F77" s="18"/>
      <x:c r="G77" s="17"/>
      <x:c r="H77" s="18"/>
      <x:c r="I77" s="17"/>
      <x:c r="J77" s="17"/>
      <x:c r="K77" s="17"/>
      <x:c r="L77" s="17" t="str">
        <x:f>IF(A77="","",IF(COUNTIF($A$7:$A$106,A77)&gt;1,"ID重複",IF(COUNTIF('試験定義'!$A$7:$A$42,B77)&lt;&gt;1,"TC参照不正",IF(AND(J77="はい",COUNTIFS($B$7:$B$106,B77,$C$7:$C$106,C77,$J$7:$J$106,"はい")&gt;1),"最終採用重複",IF(OR(G77="",G77="未実施"),"未実施",IF(OR(C77="",D77="",E77="",F77="",H77="",J77="",K77=""),"記録不足",IF(G77="合格","レビュー記録あり","要確認")))))))</x:f>
      </x:c>
    </x:row>
    <x:row r="78" ht="30" customHeight="1">
      <x:c r="A78" s="17"/>
      <x:c r="B78" s="17"/>
      <x:c r="C78" s="17"/>
      <x:c r="D78" s="17"/>
      <x:c r="E78" s="17"/>
      <x:c r="F78" s="18"/>
      <x:c r="G78" s="17"/>
      <x:c r="H78" s="18"/>
      <x:c r="I78" s="17"/>
      <x:c r="J78" s="17"/>
      <x:c r="K78" s="17"/>
      <x:c r="L78" s="17" t="str">
        <x:f>IF(A78="","",IF(COUNTIF($A$7:$A$106,A78)&gt;1,"ID重複",IF(COUNTIF('試験定義'!$A$7:$A$42,B78)&lt;&gt;1,"TC参照不正",IF(AND(J78="はい",COUNTIFS($B$7:$B$106,B78,$C$7:$C$106,C78,$J$7:$J$106,"はい")&gt;1),"最終採用重複",IF(OR(G78="",G78="未実施"),"未実施",IF(OR(C78="",D78="",E78="",F78="",H78="",J78="",K78=""),"記録不足",IF(G78="合格","レビュー記録あり","要確認")))))))</x:f>
      </x:c>
    </x:row>
    <x:row r="79" ht="30" customHeight="1">
      <x:c r="A79" s="17"/>
      <x:c r="B79" s="17"/>
      <x:c r="C79" s="17"/>
      <x:c r="D79" s="17"/>
      <x:c r="E79" s="17"/>
      <x:c r="F79" s="18"/>
      <x:c r="G79" s="17"/>
      <x:c r="H79" s="18"/>
      <x:c r="I79" s="17"/>
      <x:c r="J79" s="17"/>
      <x:c r="K79" s="17"/>
      <x:c r="L79" s="17" t="str">
        <x:f>IF(A79="","",IF(COUNTIF($A$7:$A$106,A79)&gt;1,"ID重複",IF(COUNTIF('試験定義'!$A$7:$A$42,B79)&lt;&gt;1,"TC参照不正",IF(AND(J79="はい",COUNTIFS($B$7:$B$106,B79,$C$7:$C$106,C79,$J$7:$J$106,"はい")&gt;1),"最終採用重複",IF(OR(G79="",G79="未実施"),"未実施",IF(OR(C79="",D79="",E79="",F79="",H79="",J79="",K79=""),"記録不足",IF(G79="合格","レビュー記録あり","要確認")))))))</x:f>
      </x:c>
    </x:row>
    <x:row r="80" ht="30" customHeight="1">
      <x:c r="A80" s="17"/>
      <x:c r="B80" s="17"/>
      <x:c r="C80" s="17"/>
      <x:c r="D80" s="17"/>
      <x:c r="E80" s="17"/>
      <x:c r="F80" s="18"/>
      <x:c r="G80" s="17"/>
      <x:c r="H80" s="18"/>
      <x:c r="I80" s="17"/>
      <x:c r="J80" s="17"/>
      <x:c r="K80" s="17"/>
      <x:c r="L80" s="17" t="str">
        <x:f>IF(A80="","",IF(COUNTIF($A$7:$A$106,A80)&gt;1,"ID重複",IF(COUNTIF('試験定義'!$A$7:$A$42,B80)&lt;&gt;1,"TC参照不正",IF(AND(J80="はい",COUNTIFS($B$7:$B$106,B80,$C$7:$C$106,C80,$J$7:$J$106,"はい")&gt;1),"最終採用重複",IF(OR(G80="",G80="未実施"),"未実施",IF(OR(C80="",D80="",E80="",F80="",H80="",J80="",K80=""),"記録不足",IF(G80="合格","レビュー記録あり","要確認")))))))</x:f>
      </x:c>
    </x:row>
    <x:row r="81" ht="30" customHeight="1">
      <x:c r="A81" s="17"/>
      <x:c r="B81" s="17"/>
      <x:c r="C81" s="17"/>
      <x:c r="D81" s="17"/>
      <x:c r="E81" s="17"/>
      <x:c r="F81" s="18"/>
      <x:c r="G81" s="17"/>
      <x:c r="H81" s="18"/>
      <x:c r="I81" s="17"/>
      <x:c r="J81" s="17"/>
      <x:c r="K81" s="17"/>
      <x:c r="L81" s="17" t="str">
        <x:f>IF(A81="","",IF(COUNTIF($A$7:$A$106,A81)&gt;1,"ID重複",IF(COUNTIF('試験定義'!$A$7:$A$42,B81)&lt;&gt;1,"TC参照不正",IF(AND(J81="はい",COUNTIFS($B$7:$B$106,B81,$C$7:$C$106,C81,$J$7:$J$106,"はい")&gt;1),"最終採用重複",IF(OR(G81="",G81="未実施"),"未実施",IF(OR(C81="",D81="",E81="",F81="",H81="",J81="",K81=""),"記録不足",IF(G81="合格","レビュー記録あり","要確認")))))))</x:f>
      </x:c>
    </x:row>
    <x:row r="82" ht="30" customHeight="1">
      <x:c r="A82" s="17"/>
      <x:c r="B82" s="17"/>
      <x:c r="C82" s="17"/>
      <x:c r="D82" s="17"/>
      <x:c r="E82" s="17"/>
      <x:c r="F82" s="18"/>
      <x:c r="G82" s="17"/>
      <x:c r="H82" s="18"/>
      <x:c r="I82" s="17"/>
      <x:c r="J82" s="17"/>
      <x:c r="K82" s="17"/>
      <x:c r="L82" s="17" t="str">
        <x:f>IF(A82="","",IF(COUNTIF($A$7:$A$106,A82)&gt;1,"ID重複",IF(COUNTIF('試験定義'!$A$7:$A$42,B82)&lt;&gt;1,"TC参照不正",IF(AND(J82="はい",COUNTIFS($B$7:$B$106,B82,$C$7:$C$106,C82,$J$7:$J$106,"はい")&gt;1),"最終採用重複",IF(OR(G82="",G82="未実施"),"未実施",IF(OR(C82="",D82="",E82="",F82="",H82="",J82="",K82=""),"記録不足",IF(G82="合格","レビュー記録あり","要確認")))))))</x:f>
      </x:c>
    </x:row>
    <x:row r="83" ht="30" customHeight="1">
      <x:c r="A83" s="17"/>
      <x:c r="B83" s="17"/>
      <x:c r="C83" s="17"/>
      <x:c r="D83" s="17"/>
      <x:c r="E83" s="17"/>
      <x:c r="F83" s="18"/>
      <x:c r="G83" s="17"/>
      <x:c r="H83" s="18"/>
      <x:c r="I83" s="17"/>
      <x:c r="J83" s="17"/>
      <x:c r="K83" s="17"/>
      <x:c r="L83" s="17" t="str">
        <x:f>IF(A83="","",IF(COUNTIF($A$7:$A$106,A83)&gt;1,"ID重複",IF(COUNTIF('試験定義'!$A$7:$A$42,B83)&lt;&gt;1,"TC参照不正",IF(AND(J83="はい",COUNTIFS($B$7:$B$106,B83,$C$7:$C$106,C83,$J$7:$J$106,"はい")&gt;1),"最終採用重複",IF(OR(G83="",G83="未実施"),"未実施",IF(OR(C83="",D83="",E83="",F83="",H83="",J83="",K83=""),"記録不足",IF(G83="合格","レビュー記録あり","要確認")))))))</x:f>
      </x:c>
    </x:row>
    <x:row r="84" ht="30" customHeight="1">
      <x:c r="A84" s="17"/>
      <x:c r="B84" s="17"/>
      <x:c r="C84" s="17"/>
      <x:c r="D84" s="17"/>
      <x:c r="E84" s="17"/>
      <x:c r="F84" s="18"/>
      <x:c r="G84" s="17"/>
      <x:c r="H84" s="18"/>
      <x:c r="I84" s="17"/>
      <x:c r="J84" s="17"/>
      <x:c r="K84" s="17"/>
      <x:c r="L84" s="17" t="str">
        <x:f>IF(A84="","",IF(COUNTIF($A$7:$A$106,A84)&gt;1,"ID重複",IF(COUNTIF('試験定義'!$A$7:$A$42,B84)&lt;&gt;1,"TC参照不正",IF(AND(J84="はい",COUNTIFS($B$7:$B$106,B84,$C$7:$C$106,C84,$J$7:$J$106,"はい")&gt;1),"最終採用重複",IF(OR(G84="",G84="未実施"),"未実施",IF(OR(C84="",D84="",E84="",F84="",H84="",J84="",K84=""),"記録不足",IF(G84="合格","レビュー記録あり","要確認")))))))</x:f>
      </x:c>
    </x:row>
    <x:row r="85" ht="30" customHeight="1">
      <x:c r="A85" s="17"/>
      <x:c r="B85" s="17"/>
      <x:c r="C85" s="17"/>
      <x:c r="D85" s="17"/>
      <x:c r="E85" s="17"/>
      <x:c r="F85" s="18"/>
      <x:c r="G85" s="17"/>
      <x:c r="H85" s="18"/>
      <x:c r="I85" s="17"/>
      <x:c r="J85" s="17"/>
      <x:c r="K85" s="17"/>
      <x:c r="L85" s="17" t="str">
        <x:f>IF(A85="","",IF(COUNTIF($A$7:$A$106,A85)&gt;1,"ID重複",IF(COUNTIF('試験定義'!$A$7:$A$42,B85)&lt;&gt;1,"TC参照不正",IF(AND(J85="はい",COUNTIFS($B$7:$B$106,B85,$C$7:$C$106,C85,$J$7:$J$106,"はい")&gt;1),"最終採用重複",IF(OR(G85="",G85="未実施"),"未実施",IF(OR(C85="",D85="",E85="",F85="",H85="",J85="",K85=""),"記録不足",IF(G85="合格","レビュー記録あり","要確認")))))))</x:f>
      </x:c>
    </x:row>
    <x:row r="86" ht="30" customHeight="1">
      <x:c r="A86" s="17"/>
      <x:c r="B86" s="17"/>
      <x:c r="C86" s="17"/>
      <x:c r="D86" s="17"/>
      <x:c r="E86" s="17"/>
      <x:c r="F86" s="18"/>
      <x:c r="G86" s="17"/>
      <x:c r="H86" s="18"/>
      <x:c r="I86" s="17"/>
      <x:c r="J86" s="17"/>
      <x:c r="K86" s="17"/>
      <x:c r="L86" s="17" t="str">
        <x:f>IF(A86="","",IF(COUNTIF($A$7:$A$106,A86)&gt;1,"ID重複",IF(COUNTIF('試験定義'!$A$7:$A$42,B86)&lt;&gt;1,"TC参照不正",IF(AND(J86="はい",COUNTIFS($B$7:$B$106,B86,$C$7:$C$106,C86,$J$7:$J$106,"はい")&gt;1),"最終採用重複",IF(OR(G86="",G86="未実施"),"未実施",IF(OR(C86="",D86="",E86="",F86="",H86="",J86="",K86=""),"記録不足",IF(G86="合格","レビュー記録あり","要確認")))))))</x:f>
      </x:c>
    </x:row>
    <x:row r="87" ht="30" customHeight="1">
      <x:c r="A87" s="17"/>
      <x:c r="B87" s="17"/>
      <x:c r="C87" s="17"/>
      <x:c r="D87" s="17"/>
      <x:c r="E87" s="17"/>
      <x:c r="F87" s="18"/>
      <x:c r="G87" s="17"/>
      <x:c r="H87" s="18"/>
      <x:c r="I87" s="17"/>
      <x:c r="J87" s="17"/>
      <x:c r="K87" s="17"/>
      <x:c r="L87" s="17" t="str">
        <x:f>IF(A87="","",IF(COUNTIF($A$7:$A$106,A87)&gt;1,"ID重複",IF(COUNTIF('試験定義'!$A$7:$A$42,B87)&lt;&gt;1,"TC参照不正",IF(AND(J87="はい",COUNTIFS($B$7:$B$106,B87,$C$7:$C$106,C87,$J$7:$J$106,"はい")&gt;1),"最終採用重複",IF(OR(G87="",G87="未実施"),"未実施",IF(OR(C87="",D87="",E87="",F87="",H87="",J87="",K87=""),"記録不足",IF(G87="合格","レビュー記録あり","要確認")))))))</x:f>
      </x:c>
    </x:row>
    <x:row r="88" ht="30" customHeight="1">
      <x:c r="A88" s="17"/>
      <x:c r="B88" s="17"/>
      <x:c r="C88" s="17"/>
      <x:c r="D88" s="17"/>
      <x:c r="E88" s="17"/>
      <x:c r="F88" s="18"/>
      <x:c r="G88" s="17"/>
      <x:c r="H88" s="18"/>
      <x:c r="I88" s="17"/>
      <x:c r="J88" s="17"/>
      <x:c r="K88" s="17"/>
      <x:c r="L88" s="17" t="str">
        <x:f>IF(A88="","",IF(COUNTIF($A$7:$A$106,A88)&gt;1,"ID重複",IF(COUNTIF('試験定義'!$A$7:$A$42,B88)&lt;&gt;1,"TC参照不正",IF(AND(J88="はい",COUNTIFS($B$7:$B$106,B88,$C$7:$C$106,C88,$J$7:$J$106,"はい")&gt;1),"最終採用重複",IF(OR(G88="",G88="未実施"),"未実施",IF(OR(C88="",D88="",E88="",F88="",H88="",J88="",K88=""),"記録不足",IF(G88="合格","レビュー記録あり","要確認")))))))</x:f>
      </x:c>
    </x:row>
    <x:row r="89" ht="30" customHeight="1">
      <x:c r="A89" s="17"/>
      <x:c r="B89" s="17"/>
      <x:c r="C89" s="17"/>
      <x:c r="D89" s="17"/>
      <x:c r="E89" s="17"/>
      <x:c r="F89" s="18"/>
      <x:c r="G89" s="17"/>
      <x:c r="H89" s="18"/>
      <x:c r="I89" s="17"/>
      <x:c r="J89" s="17"/>
      <x:c r="K89" s="17"/>
      <x:c r="L89" s="17" t="str">
        <x:f>IF(A89="","",IF(COUNTIF($A$7:$A$106,A89)&gt;1,"ID重複",IF(COUNTIF('試験定義'!$A$7:$A$42,B89)&lt;&gt;1,"TC参照不正",IF(AND(J89="はい",COUNTIFS($B$7:$B$106,B89,$C$7:$C$106,C89,$J$7:$J$106,"はい")&gt;1),"最終採用重複",IF(OR(G89="",G89="未実施"),"未実施",IF(OR(C89="",D89="",E89="",F89="",H89="",J89="",K89=""),"記録不足",IF(G89="合格","レビュー記録あり","要確認")))))))</x:f>
      </x:c>
    </x:row>
    <x:row r="90" ht="30" customHeight="1">
      <x:c r="A90" s="17"/>
      <x:c r="B90" s="17"/>
      <x:c r="C90" s="17"/>
      <x:c r="D90" s="17"/>
      <x:c r="E90" s="17"/>
      <x:c r="F90" s="18"/>
      <x:c r="G90" s="17"/>
      <x:c r="H90" s="18"/>
      <x:c r="I90" s="17"/>
      <x:c r="J90" s="17"/>
      <x:c r="K90" s="17"/>
      <x:c r="L90" s="17" t="str">
        <x:f>IF(A90="","",IF(COUNTIF($A$7:$A$106,A90)&gt;1,"ID重複",IF(COUNTIF('試験定義'!$A$7:$A$42,B90)&lt;&gt;1,"TC参照不正",IF(AND(J90="はい",COUNTIFS($B$7:$B$106,B90,$C$7:$C$106,C90,$J$7:$J$106,"はい")&gt;1),"最終採用重複",IF(OR(G90="",G90="未実施"),"未実施",IF(OR(C90="",D90="",E90="",F90="",H90="",J90="",K90=""),"記録不足",IF(G90="合格","レビュー記録あり","要確認")))))))</x:f>
      </x:c>
    </x:row>
    <x:row r="91" ht="30" customHeight="1">
      <x:c r="A91" s="17"/>
      <x:c r="B91" s="17"/>
      <x:c r="C91" s="17"/>
      <x:c r="D91" s="17"/>
      <x:c r="E91" s="17"/>
      <x:c r="F91" s="18"/>
      <x:c r="G91" s="17"/>
      <x:c r="H91" s="18"/>
      <x:c r="I91" s="17"/>
      <x:c r="J91" s="17"/>
      <x:c r="K91" s="17"/>
      <x:c r="L91" s="17" t="str">
        <x:f>IF(A91="","",IF(COUNTIF($A$7:$A$106,A91)&gt;1,"ID重複",IF(COUNTIF('試験定義'!$A$7:$A$42,B91)&lt;&gt;1,"TC参照不正",IF(AND(J91="はい",COUNTIFS($B$7:$B$106,B91,$C$7:$C$106,C91,$J$7:$J$106,"はい")&gt;1),"最終採用重複",IF(OR(G91="",G91="未実施"),"未実施",IF(OR(C91="",D91="",E91="",F91="",H91="",J91="",K91=""),"記録不足",IF(G91="合格","レビュー記録あり","要確認")))))))</x:f>
      </x:c>
    </x:row>
    <x:row r="92" ht="30" customHeight="1">
      <x:c r="A92" s="17"/>
      <x:c r="B92" s="17"/>
      <x:c r="C92" s="17"/>
      <x:c r="D92" s="17"/>
      <x:c r="E92" s="17"/>
      <x:c r="F92" s="18"/>
      <x:c r="G92" s="17"/>
      <x:c r="H92" s="18"/>
      <x:c r="I92" s="17"/>
      <x:c r="J92" s="17"/>
      <x:c r="K92" s="17"/>
      <x:c r="L92" s="17" t="str">
        <x:f>IF(A92="","",IF(COUNTIF($A$7:$A$106,A92)&gt;1,"ID重複",IF(COUNTIF('試験定義'!$A$7:$A$42,B92)&lt;&gt;1,"TC参照不正",IF(AND(J92="はい",COUNTIFS($B$7:$B$106,B92,$C$7:$C$106,C92,$J$7:$J$106,"はい")&gt;1),"最終採用重複",IF(OR(G92="",G92="未実施"),"未実施",IF(OR(C92="",D92="",E92="",F92="",H92="",J92="",K92=""),"記録不足",IF(G92="合格","レビュー記録あり","要確認")))))))</x:f>
      </x:c>
    </x:row>
    <x:row r="93" ht="30" customHeight="1">
      <x:c r="A93" s="17"/>
      <x:c r="B93" s="17"/>
      <x:c r="C93" s="17"/>
      <x:c r="D93" s="17"/>
      <x:c r="E93" s="17"/>
      <x:c r="F93" s="18"/>
      <x:c r="G93" s="17"/>
      <x:c r="H93" s="18"/>
      <x:c r="I93" s="17"/>
      <x:c r="J93" s="17"/>
      <x:c r="K93" s="17"/>
      <x:c r="L93" s="17" t="str">
        <x:f>IF(A93="","",IF(COUNTIF($A$7:$A$106,A93)&gt;1,"ID重複",IF(COUNTIF('試験定義'!$A$7:$A$42,B93)&lt;&gt;1,"TC参照不正",IF(AND(J93="はい",COUNTIFS($B$7:$B$106,B93,$C$7:$C$106,C93,$J$7:$J$106,"はい")&gt;1),"最終採用重複",IF(OR(G93="",G93="未実施"),"未実施",IF(OR(C93="",D93="",E93="",F93="",H93="",J93="",K93=""),"記録不足",IF(G93="合格","レビュー記録あり","要確認")))))))</x:f>
      </x:c>
    </x:row>
    <x:row r="94" ht="30" customHeight="1">
      <x:c r="A94" s="17"/>
      <x:c r="B94" s="17"/>
      <x:c r="C94" s="17"/>
      <x:c r="D94" s="17"/>
      <x:c r="E94" s="17"/>
      <x:c r="F94" s="18"/>
      <x:c r="G94" s="17"/>
      <x:c r="H94" s="18"/>
      <x:c r="I94" s="17"/>
      <x:c r="J94" s="17"/>
      <x:c r="K94" s="17"/>
      <x:c r="L94" s="17" t="str">
        <x:f>IF(A94="","",IF(COUNTIF($A$7:$A$106,A94)&gt;1,"ID重複",IF(COUNTIF('試験定義'!$A$7:$A$42,B94)&lt;&gt;1,"TC参照不正",IF(AND(J94="はい",COUNTIFS($B$7:$B$106,B94,$C$7:$C$106,C94,$J$7:$J$106,"はい")&gt;1),"最終採用重複",IF(OR(G94="",G94="未実施"),"未実施",IF(OR(C94="",D94="",E94="",F94="",H94="",J94="",K94=""),"記録不足",IF(G94="合格","レビュー記録あり","要確認")))))))</x:f>
      </x:c>
    </x:row>
    <x:row r="95" ht="30" customHeight="1">
      <x:c r="A95" s="17"/>
      <x:c r="B95" s="17"/>
      <x:c r="C95" s="17"/>
      <x:c r="D95" s="17"/>
      <x:c r="E95" s="17"/>
      <x:c r="F95" s="18"/>
      <x:c r="G95" s="17"/>
      <x:c r="H95" s="18"/>
      <x:c r="I95" s="17"/>
      <x:c r="J95" s="17"/>
      <x:c r="K95" s="17"/>
      <x:c r="L95" s="17" t="str">
        <x:f>IF(A95="","",IF(COUNTIF($A$7:$A$106,A95)&gt;1,"ID重複",IF(COUNTIF('試験定義'!$A$7:$A$42,B95)&lt;&gt;1,"TC参照不正",IF(AND(J95="はい",COUNTIFS($B$7:$B$106,B95,$C$7:$C$106,C95,$J$7:$J$106,"はい")&gt;1),"最終採用重複",IF(OR(G95="",G95="未実施"),"未実施",IF(OR(C95="",D95="",E95="",F95="",H95="",J95="",K95=""),"記録不足",IF(G95="合格","レビュー記録あり","要確認")))))))</x:f>
      </x:c>
    </x:row>
    <x:row r="96" ht="30" customHeight="1">
      <x:c r="A96" s="17"/>
      <x:c r="B96" s="17"/>
      <x:c r="C96" s="17"/>
      <x:c r="D96" s="17"/>
      <x:c r="E96" s="17"/>
      <x:c r="F96" s="18"/>
      <x:c r="G96" s="17"/>
      <x:c r="H96" s="18"/>
      <x:c r="I96" s="17"/>
      <x:c r="J96" s="17"/>
      <x:c r="K96" s="17"/>
      <x:c r="L96" s="17" t="str">
        <x:f>IF(A96="","",IF(COUNTIF($A$7:$A$106,A96)&gt;1,"ID重複",IF(COUNTIF('試験定義'!$A$7:$A$42,B96)&lt;&gt;1,"TC参照不正",IF(AND(J96="はい",COUNTIFS($B$7:$B$106,B96,$C$7:$C$106,C96,$J$7:$J$106,"はい")&gt;1),"最終採用重複",IF(OR(G96="",G96="未実施"),"未実施",IF(OR(C96="",D96="",E96="",F96="",H96="",J96="",K96=""),"記録不足",IF(G96="合格","レビュー記録あり","要確認")))))))</x:f>
      </x:c>
    </x:row>
    <x:row r="97" ht="30" customHeight="1">
      <x:c r="A97" s="17"/>
      <x:c r="B97" s="17"/>
      <x:c r="C97" s="17"/>
      <x:c r="D97" s="17"/>
      <x:c r="E97" s="17"/>
      <x:c r="F97" s="18"/>
      <x:c r="G97" s="17"/>
      <x:c r="H97" s="18"/>
      <x:c r="I97" s="17"/>
      <x:c r="J97" s="17"/>
      <x:c r="K97" s="17"/>
      <x:c r="L97" s="17" t="str">
        <x:f>IF(A97="","",IF(COUNTIF($A$7:$A$106,A97)&gt;1,"ID重複",IF(COUNTIF('試験定義'!$A$7:$A$42,B97)&lt;&gt;1,"TC参照不正",IF(AND(J97="はい",COUNTIFS($B$7:$B$106,B97,$C$7:$C$106,C97,$J$7:$J$106,"はい")&gt;1),"最終採用重複",IF(OR(G97="",G97="未実施"),"未実施",IF(OR(C97="",D97="",E97="",F97="",H97="",J97="",K97=""),"記録不足",IF(G97="合格","レビュー記録あり","要確認")))))))</x:f>
      </x:c>
    </x:row>
    <x:row r="98" ht="30" customHeight="1">
      <x:c r="A98" s="17"/>
      <x:c r="B98" s="17"/>
      <x:c r="C98" s="17"/>
      <x:c r="D98" s="17"/>
      <x:c r="E98" s="17"/>
      <x:c r="F98" s="18"/>
      <x:c r="G98" s="17"/>
      <x:c r="H98" s="18"/>
      <x:c r="I98" s="17"/>
      <x:c r="J98" s="17"/>
      <x:c r="K98" s="17"/>
      <x:c r="L98" s="17" t="str">
        <x:f>IF(A98="","",IF(COUNTIF($A$7:$A$106,A98)&gt;1,"ID重複",IF(COUNTIF('試験定義'!$A$7:$A$42,B98)&lt;&gt;1,"TC参照不正",IF(AND(J98="はい",COUNTIFS($B$7:$B$106,B98,$C$7:$C$106,C98,$J$7:$J$106,"はい")&gt;1),"最終採用重複",IF(OR(G98="",G98="未実施"),"未実施",IF(OR(C98="",D98="",E98="",F98="",H98="",J98="",K98=""),"記録不足",IF(G98="合格","レビュー記録あり","要確認")))))))</x:f>
      </x:c>
    </x:row>
    <x:row r="99" ht="30" customHeight="1">
      <x:c r="A99" s="17"/>
      <x:c r="B99" s="17"/>
      <x:c r="C99" s="17"/>
      <x:c r="D99" s="17"/>
      <x:c r="E99" s="17"/>
      <x:c r="F99" s="18"/>
      <x:c r="G99" s="17"/>
      <x:c r="H99" s="18"/>
      <x:c r="I99" s="17"/>
      <x:c r="J99" s="17"/>
      <x:c r="K99" s="17"/>
      <x:c r="L99" s="17" t="str">
        <x:f>IF(A99="","",IF(COUNTIF($A$7:$A$106,A99)&gt;1,"ID重複",IF(COUNTIF('試験定義'!$A$7:$A$42,B99)&lt;&gt;1,"TC参照不正",IF(AND(J99="はい",COUNTIFS($B$7:$B$106,B99,$C$7:$C$106,C99,$J$7:$J$106,"はい")&gt;1),"最終採用重複",IF(OR(G99="",G99="未実施"),"未実施",IF(OR(C99="",D99="",E99="",F99="",H99="",J99="",K99=""),"記録不足",IF(G99="合格","レビュー記録あり","要確認")))))))</x:f>
      </x:c>
    </x:row>
    <x:row r="100" ht="30" customHeight="1">
      <x:c r="A100" s="17"/>
      <x:c r="B100" s="17"/>
      <x:c r="C100" s="17"/>
      <x:c r="D100" s="17"/>
      <x:c r="E100" s="17"/>
      <x:c r="F100" s="18"/>
      <x:c r="G100" s="17"/>
      <x:c r="H100" s="18"/>
      <x:c r="I100" s="17"/>
      <x:c r="J100" s="17"/>
      <x:c r="K100" s="17"/>
      <x:c r="L100" s="17" t="str">
        <x:f>IF(A100="","",IF(COUNTIF($A$7:$A$106,A100)&gt;1,"ID重複",IF(COUNTIF('試験定義'!$A$7:$A$42,B100)&lt;&gt;1,"TC参照不正",IF(AND(J100="はい",COUNTIFS($B$7:$B$106,B100,$C$7:$C$106,C100,$J$7:$J$106,"はい")&gt;1),"最終採用重複",IF(OR(G100="",G100="未実施"),"未実施",IF(OR(C100="",D100="",E100="",F100="",H100="",J100="",K100=""),"記録不足",IF(G100="合格","レビュー記録あり","要確認")))))))</x:f>
      </x:c>
    </x:row>
    <x:row r="101" ht="30" customHeight="1">
      <x:c r="A101" s="17"/>
      <x:c r="B101" s="17"/>
      <x:c r="C101" s="17"/>
      <x:c r="D101" s="17"/>
      <x:c r="E101" s="17"/>
      <x:c r="F101" s="18"/>
      <x:c r="G101" s="17"/>
      <x:c r="H101" s="18"/>
      <x:c r="I101" s="17"/>
      <x:c r="J101" s="17"/>
      <x:c r="K101" s="17"/>
      <x:c r="L101" s="17" t="str">
        <x:f>IF(A101="","",IF(COUNTIF($A$7:$A$106,A101)&gt;1,"ID重複",IF(COUNTIF('試験定義'!$A$7:$A$42,B101)&lt;&gt;1,"TC参照不正",IF(AND(J101="はい",COUNTIFS($B$7:$B$106,B101,$C$7:$C$106,C101,$J$7:$J$106,"はい")&gt;1),"最終採用重複",IF(OR(G101="",G101="未実施"),"未実施",IF(OR(C101="",D101="",E101="",F101="",H101="",J101="",K101=""),"記録不足",IF(G101="合格","レビュー記録あり","要確認")))))))</x:f>
      </x:c>
    </x:row>
    <x:row r="102" ht="30" customHeight="1">
      <x:c r="A102" s="17"/>
      <x:c r="B102" s="17"/>
      <x:c r="C102" s="17"/>
      <x:c r="D102" s="17"/>
      <x:c r="E102" s="17"/>
      <x:c r="F102" s="18"/>
      <x:c r="G102" s="17"/>
      <x:c r="H102" s="18"/>
      <x:c r="I102" s="17"/>
      <x:c r="J102" s="17"/>
      <x:c r="K102" s="17"/>
      <x:c r="L102" s="17" t="str">
        <x:f>IF(A102="","",IF(COUNTIF($A$7:$A$106,A102)&gt;1,"ID重複",IF(COUNTIF('試験定義'!$A$7:$A$42,B102)&lt;&gt;1,"TC参照不正",IF(AND(J102="はい",COUNTIFS($B$7:$B$106,B102,$C$7:$C$106,C102,$J$7:$J$106,"はい")&gt;1),"最終採用重複",IF(OR(G102="",G102="未実施"),"未実施",IF(OR(C102="",D102="",E102="",F102="",H102="",J102="",K102=""),"記録不足",IF(G102="合格","レビュー記録あり","要確認")))))))</x:f>
      </x:c>
    </x:row>
    <x:row r="103" ht="30" customHeight="1">
      <x:c r="A103" s="17"/>
      <x:c r="B103" s="17"/>
      <x:c r="C103" s="17"/>
      <x:c r="D103" s="17"/>
      <x:c r="E103" s="17"/>
      <x:c r="F103" s="18"/>
      <x:c r="G103" s="17"/>
      <x:c r="H103" s="18"/>
      <x:c r="I103" s="17"/>
      <x:c r="J103" s="17"/>
      <x:c r="K103" s="17"/>
      <x:c r="L103" s="17" t="str">
        <x:f>IF(A103="","",IF(COUNTIF($A$7:$A$106,A103)&gt;1,"ID重複",IF(COUNTIF('試験定義'!$A$7:$A$42,B103)&lt;&gt;1,"TC参照不正",IF(AND(J103="はい",COUNTIFS($B$7:$B$106,B103,$C$7:$C$106,C103,$J$7:$J$106,"はい")&gt;1),"最終採用重複",IF(OR(G103="",G103="未実施"),"未実施",IF(OR(C103="",D103="",E103="",F103="",H103="",J103="",K103=""),"記録不足",IF(G103="合格","レビュー記録あり","要確認")))))))</x:f>
      </x:c>
    </x:row>
    <x:row r="104" ht="30" customHeight="1">
      <x:c r="A104" s="17"/>
      <x:c r="B104" s="17"/>
      <x:c r="C104" s="17"/>
      <x:c r="D104" s="17"/>
      <x:c r="E104" s="17"/>
      <x:c r="F104" s="18"/>
      <x:c r="G104" s="17"/>
      <x:c r="H104" s="18"/>
      <x:c r="I104" s="17"/>
      <x:c r="J104" s="17"/>
      <x:c r="K104" s="17"/>
      <x:c r="L104" s="17" t="str">
        <x:f>IF(A104="","",IF(COUNTIF($A$7:$A$106,A104)&gt;1,"ID重複",IF(COUNTIF('試験定義'!$A$7:$A$42,B104)&lt;&gt;1,"TC参照不正",IF(AND(J104="はい",COUNTIFS($B$7:$B$106,B104,$C$7:$C$106,C104,$J$7:$J$106,"はい")&gt;1),"最終採用重複",IF(OR(G104="",G104="未実施"),"未実施",IF(OR(C104="",D104="",E104="",F104="",H104="",J104="",K104=""),"記録不足",IF(G104="合格","レビュー記録あり","要確認")))))))</x:f>
      </x:c>
    </x:row>
    <x:row r="105" ht="30" customHeight="1">
      <x:c r="A105" s="17"/>
      <x:c r="B105" s="17"/>
      <x:c r="C105" s="17"/>
      <x:c r="D105" s="17"/>
      <x:c r="E105" s="17"/>
      <x:c r="F105" s="18"/>
      <x:c r="G105" s="17"/>
      <x:c r="H105" s="18"/>
      <x:c r="I105" s="17"/>
      <x:c r="J105" s="17"/>
      <x:c r="K105" s="17"/>
      <x:c r="L105" s="17" t="str">
        <x:f>IF(A105="","",IF(COUNTIF($A$7:$A$106,A105)&gt;1,"ID重複",IF(COUNTIF('試験定義'!$A$7:$A$42,B105)&lt;&gt;1,"TC参照不正",IF(AND(J105="はい",COUNTIFS($B$7:$B$106,B105,$C$7:$C$106,C105,$J$7:$J$106,"はい")&gt;1),"最終採用重複",IF(OR(G105="",G105="未実施"),"未実施",IF(OR(C105="",D105="",E105="",F105="",H105="",J105="",K105=""),"記録不足",IF(G105="合格","レビュー記録あり","要確認")))))))</x:f>
      </x:c>
    </x:row>
    <x:row r="106" ht="30" customHeight="1">
      <x:c r="A106" s="17"/>
      <x:c r="B106" s="17"/>
      <x:c r="C106" s="17"/>
      <x:c r="D106" s="17"/>
      <x:c r="E106" s="17"/>
      <x:c r="F106" s="18"/>
      <x:c r="G106" s="17"/>
      <x:c r="H106" s="18"/>
      <x:c r="I106" s="17"/>
      <x:c r="J106" s="17"/>
      <x:c r="K106" s="17"/>
      <x:c r="L106" s="17" t="str">
        <x:f>IF(A106="","",IF(COUNTIF($A$7:$A$106,A106)&gt;1,"ID重複",IF(COUNTIF('試験定義'!$A$7:$A$42,B106)&lt;&gt;1,"TC参照不正",IF(AND(J106="はい",COUNTIFS($B$7:$B$106,B106,$C$7:$C$106,C106,$J$7:$J$106,"はい")&gt;1),"最終採用重複",IF(OR(G106="",G106="未実施"),"未実施",IF(OR(C106="",D106="",E106="",F106="",H106="",J106="",K106=""),"記録不足",IF(G106="合格","レビュー記録あり","要確認")))))))</x:f>
      </x:c>
    </x:row>
  </x:sheetData>
  <x:mergeCells>
    <x:mergeCell ref="A2:H3"/>
  </x:mergeCells>
  <x:dataValidations count="2">
    <x:dataValidation type="list" sqref="G7:G106">
      <x:formula1>"未実施,合格,不合格,保留,対象外"</x:formula1>
    </x:dataValidation>
    <x:dataValidation type="list" sqref="J7:J106">
      <x:formula1>"はい,いいえ"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86ad6e6fcc4d4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2" t="str">
        <x:v>要件対応</x:v>
      </x:c>
    </x:row>
    <x:row r="2" ht="23" customHeight="1">
      <x:c r="A2" s="5" t="str">
        <x:v>1行につき1要件・1試験の対応。複数試験は行を追加します。存在確認と網羅性の承認は区別します。</x:v>
      </x:c>
    </x:row>
    <x:row r="3" ht="23" customHeight="1"/>
    <x:row r="6" ht="44" customHeight="1">
      <x:c r="A6" s="16" t="str">
        <x:v>REQ-ID</x:v>
      </x:c>
      <x:c r="B6" s="16" t="str">
        <x:v>優先度</x:v>
      </x:c>
      <x:c r="C6" s="16" t="str">
        <x:v>要件・受入条件</x:v>
      </x:c>
      <x:c r="D6" s="16" t="str">
        <x:v>対応TC-ID</x:v>
      </x:c>
      <x:c r="E6" s="16" t="str">
        <x:v>対象外理由</x:v>
      </x:c>
      <x:c r="F6" s="16" t="str">
        <x:v>レビュー記録ID</x:v>
      </x:c>
      <x:c r="G6" s="16" t="str">
        <x:v>対応確認</x:v>
      </x:c>
    </x:row>
    <x:row r="7" ht="30" customHeight="1">
      <x:c r="A7" s="17"/>
      <x:c r="B7" s="17"/>
      <x:c r="C7" s="18"/>
      <x:c r="D7" s="17"/>
      <x:c r="E7" s="17"/>
      <x:c r="F7" s="17"/>
      <x:c r="G7" s="17" t="str">
        <x:f>IF(A7="","",IF(E7&lt;&gt;"","対象外・要レビュー",IF(AND(COUNTIF('試験定義'!$A$7:$A$42,D7)=1,F7&lt;&gt;""),"対応あり","要確認")))</x:f>
      </x:c>
    </x:row>
    <x:row r="8" ht="30" customHeight="1">
      <x:c r="A8" s="17"/>
      <x:c r="B8" s="17"/>
      <x:c r="C8" s="18"/>
      <x:c r="D8" s="17"/>
      <x:c r="E8" s="17"/>
      <x:c r="F8" s="17"/>
      <x:c r="G8" s="17" t="str">
        <x:f>IF(A8="","",IF(E8&lt;&gt;"","対象外・要レビュー",IF(AND(COUNTIF('試験定義'!$A$7:$A$42,D8)=1,F8&lt;&gt;""),"対応あり","要確認")))</x:f>
      </x:c>
    </x:row>
    <x:row r="9" ht="30" customHeight="1">
      <x:c r="A9" s="17"/>
      <x:c r="B9" s="17"/>
      <x:c r="C9" s="18"/>
      <x:c r="D9" s="17"/>
      <x:c r="E9" s="17"/>
      <x:c r="F9" s="17"/>
      <x:c r="G9" s="17" t="str">
        <x:f>IF(A9="","",IF(E9&lt;&gt;"","対象外・要レビュー",IF(AND(COUNTIF('試験定義'!$A$7:$A$42,D9)=1,F9&lt;&gt;""),"対応あり","要確認")))</x:f>
      </x:c>
    </x:row>
    <x:row r="10" ht="30" customHeight="1">
      <x:c r="A10" s="17"/>
      <x:c r="B10" s="17"/>
      <x:c r="C10" s="18"/>
      <x:c r="D10" s="17"/>
      <x:c r="E10" s="17"/>
      <x:c r="F10" s="17"/>
      <x:c r="G10" s="17" t="str">
        <x:f>IF(A10="","",IF(E10&lt;&gt;"","対象外・要レビュー",IF(AND(COUNTIF('試験定義'!$A$7:$A$42,D10)=1,F10&lt;&gt;""),"対応あり","要確認")))</x:f>
      </x:c>
    </x:row>
    <x:row r="11" ht="30" customHeight="1">
      <x:c r="A11" s="17"/>
      <x:c r="B11" s="17"/>
      <x:c r="C11" s="18"/>
      <x:c r="D11" s="17"/>
      <x:c r="E11" s="17"/>
      <x:c r="F11" s="17"/>
      <x:c r="G11" s="17" t="str">
        <x:f>IF(A11="","",IF(E11&lt;&gt;"","対象外・要レビュー",IF(AND(COUNTIF('試験定義'!$A$7:$A$42,D11)=1,F11&lt;&gt;""),"対応あり","要確認")))</x:f>
      </x:c>
    </x:row>
    <x:row r="12" ht="30" customHeight="1">
      <x:c r="A12" s="17"/>
      <x:c r="B12" s="17"/>
      <x:c r="C12" s="18"/>
      <x:c r="D12" s="17"/>
      <x:c r="E12" s="17"/>
      <x:c r="F12" s="17"/>
      <x:c r="G12" s="17" t="str">
        <x:f>IF(A12="","",IF(E12&lt;&gt;"","対象外・要レビュー",IF(AND(COUNTIF('試験定義'!$A$7:$A$42,D12)=1,F12&lt;&gt;""),"対応あり","要確認")))</x:f>
      </x:c>
    </x:row>
    <x:row r="13" ht="30" customHeight="1">
      <x:c r="A13" s="17"/>
      <x:c r="B13" s="17"/>
      <x:c r="C13" s="18"/>
      <x:c r="D13" s="17"/>
      <x:c r="E13" s="17"/>
      <x:c r="F13" s="17"/>
      <x:c r="G13" s="17" t="str">
        <x:f>IF(A13="","",IF(E13&lt;&gt;"","対象外・要レビュー",IF(AND(COUNTIF('試験定義'!$A$7:$A$42,D13)=1,F13&lt;&gt;""),"対応あり","要確認")))</x:f>
      </x:c>
    </x:row>
    <x:row r="14" ht="30" customHeight="1">
      <x:c r="A14" s="17"/>
      <x:c r="B14" s="17"/>
      <x:c r="C14" s="18"/>
      <x:c r="D14" s="17"/>
      <x:c r="E14" s="17"/>
      <x:c r="F14" s="17"/>
      <x:c r="G14" s="17" t="str">
        <x:f>IF(A14="","",IF(E14&lt;&gt;"","対象外・要レビュー",IF(AND(COUNTIF('試験定義'!$A$7:$A$42,D14)=1,F14&lt;&gt;""),"対応あり","要確認")))</x:f>
      </x:c>
    </x:row>
    <x:row r="15" ht="30" customHeight="1">
      <x:c r="A15" s="17"/>
      <x:c r="B15" s="17"/>
      <x:c r="C15" s="18"/>
      <x:c r="D15" s="17"/>
      <x:c r="E15" s="17"/>
      <x:c r="F15" s="17"/>
      <x:c r="G15" s="17" t="str">
        <x:f>IF(A15="","",IF(E15&lt;&gt;"","対象外・要レビュー",IF(AND(COUNTIF('試験定義'!$A$7:$A$42,D15)=1,F15&lt;&gt;""),"対応あり","要確認")))</x:f>
      </x:c>
    </x:row>
    <x:row r="16" ht="30" customHeight="1">
      <x:c r="A16" s="17"/>
      <x:c r="B16" s="17"/>
      <x:c r="C16" s="18"/>
      <x:c r="D16" s="17"/>
      <x:c r="E16" s="17"/>
      <x:c r="F16" s="17"/>
      <x:c r="G16" s="17" t="str">
        <x:f>IF(A16="","",IF(E16&lt;&gt;"","対象外・要レビュー",IF(AND(COUNTIF('試験定義'!$A$7:$A$42,D16)=1,F16&lt;&gt;""),"対応あり","要確認")))</x:f>
      </x:c>
    </x:row>
    <x:row r="17" ht="30" customHeight="1">
      <x:c r="A17" s="17"/>
      <x:c r="B17" s="17"/>
      <x:c r="C17" s="18"/>
      <x:c r="D17" s="17"/>
      <x:c r="E17" s="17"/>
      <x:c r="F17" s="17"/>
      <x:c r="G17" s="17" t="str">
        <x:f>IF(A17="","",IF(E17&lt;&gt;"","対象外・要レビュー",IF(AND(COUNTIF('試験定義'!$A$7:$A$42,D17)=1,F17&lt;&gt;""),"対応あり","要確認")))</x:f>
      </x:c>
    </x:row>
    <x:row r="18" ht="30" customHeight="1">
      <x:c r="A18" s="17"/>
      <x:c r="B18" s="17"/>
      <x:c r="C18" s="18"/>
      <x:c r="D18" s="17"/>
      <x:c r="E18" s="17"/>
      <x:c r="F18" s="17"/>
      <x:c r="G18" s="17" t="str">
        <x:f>IF(A18="","",IF(E18&lt;&gt;"","対象外・要レビュー",IF(AND(COUNTIF('試験定義'!$A$7:$A$42,D18)=1,F18&lt;&gt;""),"対応あり","要確認")))</x:f>
      </x:c>
    </x:row>
    <x:row r="19" ht="30" customHeight="1">
      <x:c r="A19" s="17"/>
      <x:c r="B19" s="17"/>
      <x:c r="C19" s="18"/>
      <x:c r="D19" s="17"/>
      <x:c r="E19" s="17"/>
      <x:c r="F19" s="17"/>
      <x:c r="G19" s="17" t="str">
        <x:f>IF(A19="","",IF(E19&lt;&gt;"","対象外・要レビュー",IF(AND(COUNTIF('試験定義'!$A$7:$A$42,D19)=1,F19&lt;&gt;""),"対応あり","要確認")))</x:f>
      </x:c>
    </x:row>
    <x:row r="20" ht="30" customHeight="1">
      <x:c r="A20" s="17"/>
      <x:c r="B20" s="17"/>
      <x:c r="C20" s="18"/>
      <x:c r="D20" s="17"/>
      <x:c r="E20" s="17"/>
      <x:c r="F20" s="17"/>
      <x:c r="G20" s="17" t="str">
        <x:f>IF(A20="","",IF(E20&lt;&gt;"","対象外・要レビュー",IF(AND(COUNTIF('試験定義'!$A$7:$A$42,D20)=1,F20&lt;&gt;""),"対応あり","要確認")))</x:f>
      </x:c>
    </x:row>
    <x:row r="21" ht="30" customHeight="1">
      <x:c r="A21" s="17"/>
      <x:c r="B21" s="17"/>
      <x:c r="C21" s="18"/>
      <x:c r="D21" s="17"/>
      <x:c r="E21" s="17"/>
      <x:c r="F21" s="17"/>
      <x:c r="G21" s="17" t="str">
        <x:f>IF(A21="","",IF(E21&lt;&gt;"","対象外・要レビュー",IF(AND(COUNTIF('試験定義'!$A$7:$A$42,D21)=1,F21&lt;&gt;""),"対応あり","要確認")))</x:f>
      </x:c>
    </x:row>
    <x:row r="22" ht="30" customHeight="1">
      <x:c r="A22" s="17"/>
      <x:c r="B22" s="17"/>
      <x:c r="C22" s="18"/>
      <x:c r="D22" s="17"/>
      <x:c r="E22" s="17"/>
      <x:c r="F22" s="17"/>
      <x:c r="G22" s="17" t="str">
        <x:f>IF(A22="","",IF(E22&lt;&gt;"","対象外・要レビュー",IF(AND(COUNTIF('試験定義'!$A$7:$A$42,D22)=1,F22&lt;&gt;""),"対応あり","要確認")))</x:f>
      </x:c>
    </x:row>
    <x:row r="23" ht="30" customHeight="1">
      <x:c r="A23" s="17"/>
      <x:c r="B23" s="17"/>
      <x:c r="C23" s="18"/>
      <x:c r="D23" s="17"/>
      <x:c r="E23" s="17"/>
      <x:c r="F23" s="17"/>
      <x:c r="G23" s="17" t="str">
        <x:f>IF(A23="","",IF(E23&lt;&gt;"","対象外・要レビュー",IF(AND(COUNTIF('試験定義'!$A$7:$A$42,D23)=1,F23&lt;&gt;""),"対応あり","要確認")))</x:f>
      </x:c>
    </x:row>
    <x:row r="24" ht="30" customHeight="1">
      <x:c r="A24" s="17"/>
      <x:c r="B24" s="17"/>
      <x:c r="C24" s="18"/>
      <x:c r="D24" s="17"/>
      <x:c r="E24" s="17"/>
      <x:c r="F24" s="17"/>
      <x:c r="G24" s="17" t="str">
        <x:f>IF(A24="","",IF(E24&lt;&gt;"","対象外・要レビュー",IF(AND(COUNTIF('試験定義'!$A$7:$A$42,D24)=1,F24&lt;&gt;""),"対応あり","要確認")))</x:f>
      </x:c>
    </x:row>
    <x:row r="25" ht="30" customHeight="1">
      <x:c r="A25" s="17"/>
      <x:c r="B25" s="17"/>
      <x:c r="C25" s="18"/>
      <x:c r="D25" s="17"/>
      <x:c r="E25" s="17"/>
      <x:c r="F25" s="17"/>
      <x:c r="G25" s="17" t="str">
        <x:f>IF(A25="","",IF(E25&lt;&gt;"","対象外・要レビュー",IF(AND(COUNTIF('試験定義'!$A$7:$A$42,D25)=1,F25&lt;&gt;""),"対応あり","要確認")))</x:f>
      </x:c>
    </x:row>
    <x:row r="26" ht="30" customHeight="1">
      <x:c r="A26" s="17"/>
      <x:c r="B26" s="17"/>
      <x:c r="C26" s="18"/>
      <x:c r="D26" s="17"/>
      <x:c r="E26" s="17"/>
      <x:c r="F26" s="17"/>
      <x:c r="G26" s="17" t="str">
        <x:f>IF(A26="","",IF(E26&lt;&gt;"","対象外・要レビュー",IF(AND(COUNTIF('試験定義'!$A$7:$A$42,D26)=1,F26&lt;&gt;""),"対応あり","要確認")))</x:f>
      </x:c>
    </x:row>
    <x:row r="27" ht="30" customHeight="1">
      <x:c r="A27" s="17"/>
      <x:c r="B27" s="17"/>
      <x:c r="C27" s="18"/>
      <x:c r="D27" s="17"/>
      <x:c r="E27" s="17"/>
      <x:c r="F27" s="17"/>
      <x:c r="G27" s="17" t="str">
        <x:f>IF(A27="","",IF(E27&lt;&gt;"","対象外・要レビュー",IF(AND(COUNTIF('試験定義'!$A$7:$A$42,D27)=1,F27&lt;&gt;""),"対応あり","要確認")))</x:f>
      </x:c>
    </x:row>
    <x:row r="28" ht="30" customHeight="1">
      <x:c r="A28" s="17"/>
      <x:c r="B28" s="17"/>
      <x:c r="C28" s="18"/>
      <x:c r="D28" s="17"/>
      <x:c r="E28" s="17"/>
      <x:c r="F28" s="17"/>
      <x:c r="G28" s="17" t="str">
        <x:f>IF(A28="","",IF(E28&lt;&gt;"","対象外・要レビュー",IF(AND(COUNTIF('試験定義'!$A$7:$A$42,D28)=1,F28&lt;&gt;""),"対応あり","要確認")))</x:f>
      </x:c>
    </x:row>
    <x:row r="29" ht="30" customHeight="1">
      <x:c r="A29" s="17"/>
      <x:c r="B29" s="17"/>
      <x:c r="C29" s="18"/>
      <x:c r="D29" s="17"/>
      <x:c r="E29" s="17"/>
      <x:c r="F29" s="17"/>
      <x:c r="G29" s="17" t="str">
        <x:f>IF(A29="","",IF(E29&lt;&gt;"","対象外・要レビュー",IF(AND(COUNTIF('試験定義'!$A$7:$A$42,D29)=1,F29&lt;&gt;""),"対応あり","要確認")))</x:f>
      </x:c>
    </x:row>
    <x:row r="30" ht="30" customHeight="1">
      <x:c r="A30" s="17"/>
      <x:c r="B30" s="17"/>
      <x:c r="C30" s="18"/>
      <x:c r="D30" s="17"/>
      <x:c r="E30" s="17"/>
      <x:c r="F30" s="17"/>
      <x:c r="G30" s="17" t="str">
        <x:f>IF(A30="","",IF(E30&lt;&gt;"","対象外・要レビュー",IF(AND(COUNTIF('試験定義'!$A$7:$A$42,D30)=1,F30&lt;&gt;""),"対応あり","要確認")))</x:f>
      </x:c>
    </x:row>
    <x:row r="31" ht="30" customHeight="1">
      <x:c r="A31" s="17"/>
      <x:c r="B31" s="17"/>
      <x:c r="C31" s="18"/>
      <x:c r="D31" s="17"/>
      <x:c r="E31" s="17"/>
      <x:c r="F31" s="17"/>
      <x:c r="G31" s="17" t="str">
        <x:f>IF(A31="","",IF(E31&lt;&gt;"","対象外・要レビュー",IF(AND(COUNTIF('試験定義'!$A$7:$A$42,D31)=1,F31&lt;&gt;""),"対応あり","要確認")))</x:f>
      </x:c>
    </x:row>
    <x:row r="32" ht="30" customHeight="1">
      <x:c r="A32" s="17"/>
      <x:c r="B32" s="17"/>
      <x:c r="C32" s="18"/>
      <x:c r="D32" s="17"/>
      <x:c r="E32" s="17"/>
      <x:c r="F32" s="17"/>
      <x:c r="G32" s="17" t="str">
        <x:f>IF(A32="","",IF(E32&lt;&gt;"","対象外・要レビュー",IF(AND(COUNTIF('試験定義'!$A$7:$A$42,D32)=1,F32&lt;&gt;""),"対応あり","要確認")))</x:f>
      </x:c>
    </x:row>
    <x:row r="33" ht="30" customHeight="1">
      <x:c r="A33" s="17"/>
      <x:c r="B33" s="17"/>
      <x:c r="C33" s="18"/>
      <x:c r="D33" s="17"/>
      <x:c r="E33" s="17"/>
      <x:c r="F33" s="17"/>
      <x:c r="G33" s="17" t="str">
        <x:f>IF(A33="","",IF(E33&lt;&gt;"","対象外・要レビュー",IF(AND(COUNTIF('試験定義'!$A$7:$A$42,D33)=1,F33&lt;&gt;""),"対応あり","要確認")))</x:f>
      </x:c>
    </x:row>
    <x:row r="34" ht="30" customHeight="1">
      <x:c r="A34" s="17"/>
      <x:c r="B34" s="17"/>
      <x:c r="C34" s="18"/>
      <x:c r="D34" s="17"/>
      <x:c r="E34" s="17"/>
      <x:c r="F34" s="17"/>
      <x:c r="G34" s="17" t="str">
        <x:f>IF(A34="","",IF(E34&lt;&gt;"","対象外・要レビュー",IF(AND(COUNTIF('試験定義'!$A$7:$A$42,D34)=1,F34&lt;&gt;""),"対応あり","要確認")))</x:f>
      </x:c>
    </x:row>
    <x:row r="35" ht="30" customHeight="1">
      <x:c r="A35" s="17"/>
      <x:c r="B35" s="17"/>
      <x:c r="C35" s="18"/>
      <x:c r="D35" s="17"/>
      <x:c r="E35" s="17"/>
      <x:c r="F35" s="17"/>
      <x:c r="G35" s="17" t="str">
        <x:f>IF(A35="","",IF(E35&lt;&gt;"","対象外・要レビュー",IF(AND(COUNTIF('試験定義'!$A$7:$A$42,D35)=1,F35&lt;&gt;""),"対応あり","要確認")))</x:f>
      </x:c>
    </x:row>
    <x:row r="36" ht="30" customHeight="1">
      <x:c r="A36" s="17"/>
      <x:c r="B36" s="17"/>
      <x:c r="C36" s="18"/>
      <x:c r="D36" s="17"/>
      <x:c r="E36" s="17"/>
      <x:c r="F36" s="17"/>
      <x:c r="G36" s="17" t="str">
        <x:f>IF(A36="","",IF(E36&lt;&gt;"","対象外・要レビュー",IF(AND(COUNTIF('試験定義'!$A$7:$A$42,D36)=1,F36&lt;&gt;""),"対応あり","要確認")))</x:f>
      </x:c>
    </x:row>
    <x:row r="37" ht="30" customHeight="1">
      <x:c r="A37" s="17"/>
      <x:c r="B37" s="17"/>
      <x:c r="C37" s="18"/>
      <x:c r="D37" s="17"/>
      <x:c r="E37" s="17"/>
      <x:c r="F37" s="17"/>
      <x:c r="G37" s="17" t="str">
        <x:f>IF(A37="","",IF(E37&lt;&gt;"","対象外・要レビュー",IF(AND(COUNTIF('試験定義'!$A$7:$A$42,D37)=1,F37&lt;&gt;""),"対応あり","要確認")))</x:f>
      </x:c>
    </x:row>
    <x:row r="38" ht="30" customHeight="1">
      <x:c r="A38" s="17"/>
      <x:c r="B38" s="17"/>
      <x:c r="C38" s="18"/>
      <x:c r="D38" s="17"/>
      <x:c r="E38" s="17"/>
      <x:c r="F38" s="17"/>
      <x:c r="G38" s="17" t="str">
        <x:f>IF(A38="","",IF(E38&lt;&gt;"","対象外・要レビュー",IF(AND(COUNTIF('試験定義'!$A$7:$A$42,D38)=1,F38&lt;&gt;""),"対応あり","要確認")))</x:f>
      </x:c>
    </x:row>
    <x:row r="39" ht="30" customHeight="1">
      <x:c r="A39" s="17"/>
      <x:c r="B39" s="17"/>
      <x:c r="C39" s="18"/>
      <x:c r="D39" s="17"/>
      <x:c r="E39" s="17"/>
      <x:c r="F39" s="17"/>
      <x:c r="G39" s="17" t="str">
        <x:f>IF(A39="","",IF(E39&lt;&gt;"","対象外・要レビュー",IF(AND(COUNTIF('試験定義'!$A$7:$A$42,D39)=1,F39&lt;&gt;""),"対応あり","要確認")))</x:f>
      </x:c>
    </x:row>
    <x:row r="40" ht="30" customHeight="1">
      <x:c r="A40" s="17"/>
      <x:c r="B40" s="17"/>
      <x:c r="C40" s="18"/>
      <x:c r="D40" s="17"/>
      <x:c r="E40" s="17"/>
      <x:c r="F40" s="17"/>
      <x:c r="G40" s="17" t="str">
        <x:f>IF(A40="","",IF(E40&lt;&gt;"","対象外・要レビュー",IF(AND(COUNTIF('試験定義'!$A$7:$A$42,D40)=1,F40&lt;&gt;""),"対応あり","要確認")))</x:f>
      </x:c>
    </x:row>
    <x:row r="41" ht="30" customHeight="1">
      <x:c r="A41" s="17"/>
      <x:c r="B41" s="17"/>
      <x:c r="C41" s="18"/>
      <x:c r="D41" s="17"/>
      <x:c r="E41" s="17"/>
      <x:c r="F41" s="17"/>
      <x:c r="G41" s="17" t="str">
        <x:f>IF(A41="","",IF(E41&lt;&gt;"","対象外・要レビュー",IF(AND(COUNTIF('試験定義'!$A$7:$A$42,D41)=1,F41&lt;&gt;""),"対応あり","要確認")))</x:f>
      </x:c>
    </x:row>
    <x:row r="42" ht="30" customHeight="1">
      <x:c r="A42" s="17"/>
      <x:c r="B42" s="17"/>
      <x:c r="C42" s="18"/>
      <x:c r="D42" s="17"/>
      <x:c r="E42" s="17"/>
      <x:c r="F42" s="17"/>
      <x:c r="G42" s="17" t="str">
        <x:f>IF(A42="","",IF(E42&lt;&gt;"","対象外・要レビュー",IF(AND(COUNTIF('試験定義'!$A$7:$A$42,D42)=1,F42&lt;&gt;""),"対応あり","要確認")))</x:f>
      </x:c>
    </x:row>
    <x:row r="43" ht="30" customHeight="1">
      <x:c r="A43" s="17"/>
      <x:c r="B43" s="17"/>
      <x:c r="C43" s="18"/>
      <x:c r="D43" s="17"/>
      <x:c r="E43" s="17"/>
      <x:c r="F43" s="17"/>
      <x:c r="G43" s="17" t="str">
        <x:f>IF(A43="","",IF(E43&lt;&gt;"","対象外・要レビュー",IF(AND(COUNTIF('試験定義'!$A$7:$A$42,D43)=1,F43&lt;&gt;""),"対応あり","要確認")))</x:f>
      </x:c>
    </x:row>
    <x:row r="44" ht="30" customHeight="1">
      <x:c r="A44" s="17"/>
      <x:c r="B44" s="17"/>
      <x:c r="C44" s="18"/>
      <x:c r="D44" s="17"/>
      <x:c r="E44" s="17"/>
      <x:c r="F44" s="17"/>
      <x:c r="G44" s="17" t="str">
        <x:f>IF(A44="","",IF(E44&lt;&gt;"","対象外・要レビュー",IF(AND(COUNTIF('試験定義'!$A$7:$A$42,D44)=1,F44&lt;&gt;""),"対応あり","要確認")))</x:f>
      </x:c>
    </x:row>
    <x:row r="45" ht="30" customHeight="1">
      <x:c r="A45" s="17"/>
      <x:c r="B45" s="17"/>
      <x:c r="C45" s="18"/>
      <x:c r="D45" s="17"/>
      <x:c r="E45" s="17"/>
      <x:c r="F45" s="17"/>
      <x:c r="G45" s="17" t="str">
        <x:f>IF(A45="","",IF(E45&lt;&gt;"","対象外・要レビュー",IF(AND(COUNTIF('試験定義'!$A$7:$A$42,D45)=1,F45&lt;&gt;""),"対応あり","要確認")))</x:f>
      </x:c>
    </x:row>
    <x:row r="46" ht="30" customHeight="1">
      <x:c r="A46" s="17"/>
      <x:c r="B46" s="17"/>
      <x:c r="C46" s="18"/>
      <x:c r="D46" s="17"/>
      <x:c r="E46" s="17"/>
      <x:c r="F46" s="17"/>
      <x:c r="G46" s="17" t="str">
        <x:f>IF(A46="","",IF(E46&lt;&gt;"","対象外・要レビュー",IF(AND(COUNTIF('試験定義'!$A$7:$A$42,D46)=1,F46&lt;&gt;""),"対応あり","要確認")))</x:f>
      </x:c>
    </x:row>
    <x:row r="47" ht="30" customHeight="1">
      <x:c r="A47" s="17"/>
      <x:c r="B47" s="17"/>
      <x:c r="C47" s="18"/>
      <x:c r="D47" s="17"/>
      <x:c r="E47" s="17"/>
      <x:c r="F47" s="17"/>
      <x:c r="G47" s="17" t="str">
        <x:f>IF(A47="","",IF(E47&lt;&gt;"","対象外・要レビュー",IF(AND(COUNTIF('試験定義'!$A$7:$A$42,D47)=1,F47&lt;&gt;""),"対応あり","要確認")))</x:f>
      </x:c>
    </x:row>
    <x:row r="48" ht="30" customHeight="1">
      <x:c r="A48" s="17"/>
      <x:c r="B48" s="17"/>
      <x:c r="C48" s="18"/>
      <x:c r="D48" s="17"/>
      <x:c r="E48" s="17"/>
      <x:c r="F48" s="17"/>
      <x:c r="G48" s="17" t="str">
        <x:f>IF(A48="","",IF(E48&lt;&gt;"","対象外・要レビュー",IF(AND(COUNTIF('試験定義'!$A$7:$A$42,D48)=1,F48&lt;&gt;""),"対応あり","要確認")))</x:f>
      </x:c>
    </x:row>
    <x:row r="49" ht="30" customHeight="1">
      <x:c r="A49" s="17"/>
      <x:c r="B49" s="17"/>
      <x:c r="C49" s="18"/>
      <x:c r="D49" s="17"/>
      <x:c r="E49" s="17"/>
      <x:c r="F49" s="17"/>
      <x:c r="G49" s="17" t="str">
        <x:f>IF(A49="","",IF(E49&lt;&gt;"","対象外・要レビュー",IF(AND(COUNTIF('試験定義'!$A$7:$A$42,D49)=1,F49&lt;&gt;""),"対応あり","要確認")))</x:f>
      </x:c>
    </x:row>
    <x:row r="50" ht="30" customHeight="1">
      <x:c r="A50" s="17"/>
      <x:c r="B50" s="17"/>
      <x:c r="C50" s="18"/>
      <x:c r="D50" s="17"/>
      <x:c r="E50" s="17"/>
      <x:c r="F50" s="17"/>
      <x:c r="G50" s="17" t="str">
        <x:f>IF(A50="","",IF(E50&lt;&gt;"","対象外・要レビュー",IF(AND(COUNTIF('試験定義'!$A$7:$A$42,D50)=1,F50&lt;&gt;""),"対応あり","要確認")))</x:f>
      </x:c>
    </x:row>
    <x:row r="51" ht="30" customHeight="1">
      <x:c r="A51" s="17"/>
      <x:c r="B51" s="17"/>
      <x:c r="C51" s="18"/>
      <x:c r="D51" s="17"/>
      <x:c r="E51" s="17"/>
      <x:c r="F51" s="17"/>
      <x:c r="G51" s="17" t="str">
        <x:f>IF(A51="","",IF(E51&lt;&gt;"","対象外・要レビュー",IF(AND(COUNTIF('試験定義'!$A$7:$A$42,D51)=1,F51&lt;&gt;""),"対応あり","要確認")))</x:f>
      </x:c>
    </x:row>
    <x:row r="52" ht="30" customHeight="1">
      <x:c r="A52" s="17"/>
      <x:c r="B52" s="17"/>
      <x:c r="C52" s="18"/>
      <x:c r="D52" s="17"/>
      <x:c r="E52" s="17"/>
      <x:c r="F52" s="17"/>
      <x:c r="G52" s="17" t="str">
        <x:f>IF(A52="","",IF(E52&lt;&gt;"","対象外・要レビュー",IF(AND(COUNTIF('試験定義'!$A$7:$A$42,D52)=1,F52&lt;&gt;""),"対応あり","要確認")))</x:f>
      </x:c>
    </x:row>
    <x:row r="53" ht="30" customHeight="1">
      <x:c r="A53" s="17"/>
      <x:c r="B53" s="17"/>
      <x:c r="C53" s="18"/>
      <x:c r="D53" s="17"/>
      <x:c r="E53" s="17"/>
      <x:c r="F53" s="17"/>
      <x:c r="G53" s="17" t="str">
        <x:f>IF(A53="","",IF(E53&lt;&gt;"","対象外・要レビュー",IF(AND(COUNTIF('試験定義'!$A$7:$A$42,D53)=1,F53&lt;&gt;""),"対応あり","要確認")))</x:f>
      </x:c>
    </x:row>
    <x:row r="54" ht="30" customHeight="1">
      <x:c r="A54" s="17"/>
      <x:c r="B54" s="17"/>
      <x:c r="C54" s="18"/>
      <x:c r="D54" s="17"/>
      <x:c r="E54" s="17"/>
      <x:c r="F54" s="17"/>
      <x:c r="G54" s="17" t="str">
        <x:f>IF(A54="","",IF(E54&lt;&gt;"","対象外・要レビュー",IF(AND(COUNTIF('試験定義'!$A$7:$A$42,D54)=1,F54&lt;&gt;""),"対応あり","要確認")))</x:f>
      </x:c>
    </x:row>
    <x:row r="55" ht="30" customHeight="1">
      <x:c r="A55" s="17"/>
      <x:c r="B55" s="17"/>
      <x:c r="C55" s="18"/>
      <x:c r="D55" s="17"/>
      <x:c r="E55" s="17"/>
      <x:c r="F55" s="17"/>
      <x:c r="G55" s="17" t="str">
        <x:f>IF(A55="","",IF(E55&lt;&gt;"","対象外・要レビュー",IF(AND(COUNTIF('試験定義'!$A$7:$A$42,D55)=1,F55&lt;&gt;""),"対応あり","要確認")))</x:f>
      </x:c>
    </x:row>
    <x:row r="56" ht="30" customHeight="1">
      <x:c r="A56" s="17"/>
      <x:c r="B56" s="17"/>
      <x:c r="C56" s="18"/>
      <x:c r="D56" s="17"/>
      <x:c r="E56" s="17"/>
      <x:c r="F56" s="17"/>
      <x:c r="G56" s="17" t="str">
        <x:f>IF(A56="","",IF(E56&lt;&gt;"","対象外・要レビュー",IF(AND(COUNTIF('試験定義'!$A$7:$A$42,D56)=1,F56&lt;&gt;""),"対応あり","要確認")))</x:f>
      </x:c>
    </x:row>
  </x:sheetData>
  <x:mergeCells>
    <x:mergeCell ref="A2:G3"/>
  </x:mergeCells>
  <x:pageMargins left="0.7" right="0.7" top="0.75" bottom="0.75" header="0.3" footer="0.3"/>
  <x:tableParts count="1">
    <x:tablePart xmlns:r="http://schemas.openxmlformats.org/officeDocument/2006/relationships" r:id="R0869494982fa4a55"/>
  </x:tableParts>
</x:worksheet>
</file>